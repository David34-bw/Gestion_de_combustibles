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cuments\Arquitectura\Trabajos\Proyecto\Backlog\"/>
    </mc:Choice>
  </mc:AlternateContent>
  <xr:revisionPtr revIDLastSave="0" documentId="13_ncr:1_{5C87FC7B-F7DA-45D5-B8E1-1143A1E072FF}" xr6:coauthVersionLast="47" xr6:coauthVersionMax="47" xr10:uidLastSave="{00000000-0000-0000-0000-000000000000}"/>
  <bookViews>
    <workbookView xWindow="2685" yWindow="2685" windowWidth="21600" windowHeight="11295" activeTab="7" xr2:uid="{00000000-000D-0000-FFFF-FFFF00000000}"/>
  </bookViews>
  <sheets>
    <sheet name="Sprint 1" sheetId="1" r:id="rId1"/>
    <sheet name="Sprint 2" sheetId="2" r:id="rId2"/>
    <sheet name="Sprint 3" sheetId="3" r:id="rId3"/>
    <sheet name="Sprint 4" sheetId="4" r:id="rId4"/>
    <sheet name="Sprint 5" sheetId="6" r:id="rId5"/>
    <sheet name="Sprint 6" sheetId="7" r:id="rId6"/>
    <sheet name="Sprint 7" sheetId="9" r:id="rId7"/>
    <sheet name="Sprint 8" sheetId="10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0" l="1"/>
  <c r="C22" i="9"/>
  <c r="C22" i="7"/>
  <c r="C23" i="6"/>
  <c r="C23" i="1"/>
  <c r="C18" i="3"/>
  <c r="C19" i="4"/>
  <c r="C20" i="2"/>
</calcChain>
</file>

<file path=xl/sharedStrings.xml><?xml version="1.0" encoding="utf-8"?>
<sst xmlns="http://schemas.openxmlformats.org/spreadsheetml/2006/main" count="368" uniqueCount="135">
  <si>
    <t>APLICACIÓN DE GESTIÓN DE COMBUSTIBLES  ·  Sprint Backlog</t>
  </si>
  <si>
    <t>Sprint 1  –  Semana 1</t>
  </si>
  <si>
    <t>COMPLETADO</t>
  </si>
  <si>
    <t>Historia de Usuario</t>
  </si>
  <si>
    <t>Tareas</t>
  </si>
  <si>
    <t>Horas
Est.</t>
  </si>
  <si>
    <t>Día 1</t>
  </si>
  <si>
    <t>Día 2</t>
  </si>
  <si>
    <t>Día 3</t>
  </si>
  <si>
    <t>Día 4</t>
  </si>
  <si>
    <t>Día 5</t>
  </si>
  <si>
    <t>Hecho?</t>
  </si>
  <si>
    <t>HU-001  [SP: 5]
Como estación de servicio, puedo registrarme y autenticarme en la plataforma para gestionar inventarios, precios y reportes de combustible</t>
  </si>
  <si>
    <t>Diseñar pantalla de registro (XML layout)</t>
  </si>
  <si>
    <t>✓ SÍ</t>
  </si>
  <si>
    <t>Codificar RegisterActivity.java</t>
  </si>
  <si>
    <t>Validar campos en el formulario de registro</t>
  </si>
  <si>
    <t>Crear entidad User y repositorio en Spring Boot</t>
  </si>
  <si>
    <t>Implementar endpoint POST /api/auth/register</t>
  </si>
  <si>
    <t>Caso de prueba: registro exitoso</t>
  </si>
  <si>
    <t>Caso de prueba: correo ya registrado</t>
  </si>
  <si>
    <t>Realizar pruebas de integración</t>
  </si>
  <si>
    <t>HU-002  [SP: 5]
Como usuario, puedo acceder mediante credenciales seguras con doble autenticación para garantizar privacidad e integridad de mis acciones</t>
  </si>
  <si>
    <t>Diseñar pantalla de Login (XML layout)</t>
  </si>
  <si>
    <t>Codificar LoginActivity.java</t>
  </si>
  <si>
    <t>Caso de prueba: credenciales inválidas</t>
  </si>
  <si>
    <t>Realizar pruebas de seguridad</t>
  </si>
  <si>
    <t>Sprint 2  –  Semana 2</t>
  </si>
  <si>
    <t>Diseñar pantalla de gestión de inventario</t>
  </si>
  <si>
    <t>Crear entidad Inventario en Spring Boot</t>
  </si>
  <si>
    <t>Implementar endpoint CRUD inventario</t>
  </si>
  <si>
    <t>Codificar InventarioActivity.java</t>
  </si>
  <si>
    <t>Conectar Activity con API via Retrofit</t>
  </si>
  <si>
    <t>Realizar pruebas funcionales</t>
  </si>
  <si>
    <t>Diseñar pantalla de gestión de precios</t>
  </si>
  <si>
    <t>Crear entidad Precio en Spring Boot</t>
  </si>
  <si>
    <t>Implementar endpoint CRUD precios</t>
  </si>
  <si>
    <t>Sprint 3  –  Semana 3</t>
  </si>
  <si>
    <t>Diseñar pantalla de reportes</t>
  </si>
  <si>
    <t>Definir modelo de datos para reportes</t>
  </si>
  <si>
    <t>Implementar endpoint generación de reportes</t>
  </si>
  <si>
    <t>Sprint 4  –  Semana 4</t>
  </si>
  <si>
    <t>Implementar endpoint CRUD usuarios (admin)</t>
  </si>
  <si>
    <t>Realizar pruebas de autorización</t>
  </si>
  <si>
    <t>Sprint 5  –  Semana 5</t>
  </si>
  <si>
    <t>Diseñar pantalla de alertas de precios (XML)</t>
  </si>
  <si>
    <t>Detectar cambios de precio en backend (scheduler)</t>
  </si>
  <si>
    <t>Crear endpoint GET /alertas/precios</t>
  </si>
  <si>
    <t>Codificar lógica de alertas automáticas en Android</t>
  </si>
  <si>
    <t>Implementar histórico de cambios de precios</t>
  </si>
  <si>
    <t>Caso de prueba: alerta por cambio de tarifa</t>
  </si>
  <si>
    <t>Caso de prueba: consulta histórico de cambios</t>
  </si>
  <si>
    <t>Diseñar pantalla de gestión de perfiles (XML)</t>
  </si>
  <si>
    <t>Implementar CRUD de perfiles en Spring Boot</t>
  </si>
  <si>
    <t>Configurar permisos por rol en Spring Security</t>
  </si>
  <si>
    <t>Codificar AdminPerfilesActivity.java</t>
  </si>
  <si>
    <t>Restringir acciones solo a administradores</t>
  </si>
  <si>
    <t>Implementar registro de cambios de permisos (log)</t>
  </si>
  <si>
    <t>Caso de prueba: crear/editar/eliminar perfil</t>
  </si>
  <si>
    <t>Caso de prueba: acceso denegado a no-admin</t>
  </si>
  <si>
    <t>HU-004  [SP: 5]
La estación podrá consultar precios vigentes según zona y tipo vehículo</t>
  </si>
  <si>
    <t>HU-005  [SP: 8]
El usuario puede visualizar precios según zona y tipo combustible</t>
  </si>
  <si>
    <t>HU-006  [SP: 5]
El diustribuidor registrará entregas de combustible (volumen, destino, tipo vehículo)</t>
  </si>
  <si>
    <t>HU-007  [SP: 5]
Cargar inventario por tipo combustible y volumen</t>
  </si>
  <si>
    <t xml:space="preserve">HU-008  [SP: 8]
La estación recibira una  notificación cuando el volumen se inferior al 25%  </t>
  </si>
  <si>
    <t>HU-009  [SP: 5]
El usuario recibirá alertas cuando cambien tarifas o resoluciones</t>
  </si>
  <si>
    <t>Caso de prueba: registro de vehiculo</t>
  </si>
  <si>
    <t>HU-003  [SP: 8]
El usuario particular puede registrar el vehículo (placa, tipo servicio)|</t>
  </si>
  <si>
    <t>Caso de prueba:visualizacion de diferentes precios</t>
  </si>
  <si>
    <t>Codificar ConsultarPrecioActivity.java</t>
  </si>
  <si>
    <t>Implementar Auth y Spring Security en backend</t>
  </si>
  <si>
    <t>Diseñar pantalla para tipo de cuenta</t>
  </si>
  <si>
    <t xml:space="preserve">Verificar cuenta que se registra y el tipo </t>
  </si>
  <si>
    <t>Verificar credenciales</t>
  </si>
  <si>
    <t>Caso de prueba: login exitoso</t>
  </si>
  <si>
    <t>Caso de prueba: visualización de vehiculo</t>
  </si>
  <si>
    <t>Codificar RegistrarEntregasActivity.java</t>
  </si>
  <si>
    <t>Integrar gráficas por medio de dashboards (XML)</t>
  </si>
  <si>
    <t>Caso de prueba: Visualizacion de diferentes precios</t>
  </si>
  <si>
    <t xml:space="preserve">Carga de cantidad de combustibles </t>
  </si>
  <si>
    <t xml:space="preserve">Visualizacion de cantidad y tipo </t>
  </si>
  <si>
    <t xml:space="preserve">Crear endpoint para registro </t>
  </si>
  <si>
    <t xml:space="preserve">Codificar pantalla visual en android </t>
  </si>
  <si>
    <t xml:space="preserve">Caso de prueba: Actualización correcta </t>
  </si>
  <si>
    <t xml:space="preserve">Realizar pruebas de validación  </t>
  </si>
  <si>
    <t>Diseñar pantalla de gestión de ventas</t>
  </si>
  <si>
    <t>Codificar Venta.java</t>
  </si>
  <si>
    <t>Implementar control en la cantidad del inventario</t>
  </si>
  <si>
    <t>Caso de prueba: Probar venta</t>
  </si>
  <si>
    <t>Caso de prueba: Actualizacion del stock</t>
  </si>
  <si>
    <t xml:space="preserve">Realizar pruebas de validación </t>
  </si>
  <si>
    <t>TOTAL HORAS DEL SPRINT (Esperadas)</t>
  </si>
  <si>
    <t>HU-010  [SP: 8]
Como Entidad Reguladora, gestiono perfiles de usuario y permisos del sistema para garantizar acceso seguro, diversificado, organizado y controlado</t>
  </si>
  <si>
    <t>Sprint 6  –  Semana 6</t>
  </si>
  <si>
    <t xml:space="preserve">HU-011 [SP: 5]
El usuario puede actualizar sus datos de cuenta </t>
  </si>
  <si>
    <t>HU-012  [SP: 8]
Como Entidad Reguladora, gestiono los datos de los diferentes tipos de usuario, permitiendo cambiarlos de la cuenta (correo, nombre, entre otros)</t>
  </si>
  <si>
    <t>Diseñar pantalla de cambios de datos</t>
  </si>
  <si>
    <t xml:space="preserve">Detectar cambios de datos en backend </t>
  </si>
  <si>
    <t>Crear endpoint PUT para cambiar los campos</t>
  </si>
  <si>
    <t>Verificar la actualizacion de datos</t>
  </si>
  <si>
    <t xml:space="preserve">Validar la actualizacion al ingresar </t>
  </si>
  <si>
    <t>Caso de prueba: Tratar de entrar con usuario anterior</t>
  </si>
  <si>
    <t xml:space="preserve">Caso de prueba: Entrar con los datos actualizados </t>
  </si>
  <si>
    <t>Reconfigurar función cambiar Rol</t>
  </si>
  <si>
    <t xml:space="preserve">Implementar la interfaz para actualización de datos </t>
  </si>
  <si>
    <t>Configurar datos por rol en Spring Security</t>
  </si>
  <si>
    <t>Codificar EditarPerfilActivity.java</t>
  </si>
  <si>
    <t xml:space="preserve">Eliminar cambio de rol </t>
  </si>
  <si>
    <t>Implementar registro de cambios de datos, en los otros usuarios</t>
  </si>
  <si>
    <t xml:space="preserve">Caso de prueba: Cambiar nombre y correo </t>
  </si>
  <si>
    <t>Caso de prueba: acceso denegado a datos anteriores</t>
  </si>
  <si>
    <t xml:space="preserve">Realizar pruebas de avalidación/verificación </t>
  </si>
  <si>
    <t xml:space="preserve">HU-013 [SP: 3]
El usuario y la estación de servicio pueden ver su historial de compras y ventas  </t>
  </si>
  <si>
    <t>Sprint 7 –  Semana 7</t>
  </si>
  <si>
    <t>Reconfigurar función eliminar Usuario</t>
  </si>
  <si>
    <t xml:space="preserve">HU-014 [SP: 8]
Se creo el Rol Administrador para que regulara los usuario y separar las funciones de Entidad Reguladora  </t>
  </si>
  <si>
    <t>Sprint 8 –  Semana 8</t>
  </si>
  <si>
    <t xml:space="preserve">HU-015 [SP: 8]
Se mejoro la interfaz de Dashboards por Rol, para que se vea mas organizado </t>
  </si>
  <si>
    <t xml:space="preserve">HU-016 [SP: 8]
Se agrego un Sistema de Puntos y Catálogo de Recompensas  </t>
  </si>
  <si>
    <t>Diseñar menu</t>
  </si>
  <si>
    <t xml:space="preserve">Detectar cambios de interfaz en front </t>
  </si>
  <si>
    <t>Crear toolbar</t>
  </si>
  <si>
    <t>Verificar la actualizacion de la visaulización</t>
  </si>
  <si>
    <t>Agregar activites</t>
  </si>
  <si>
    <t>Caso de prueba: Cambiar de opcion</t>
  </si>
  <si>
    <t xml:space="preserve">Caso de prueba: Agregar carro y visualizar historial  </t>
  </si>
  <si>
    <t>Crear catalogo</t>
  </si>
  <si>
    <t>Implementar la interfaz para el sistema de puntos</t>
  </si>
  <si>
    <t>Configurar puntos por compra</t>
  </si>
  <si>
    <t>Codificar las clases pertinentes</t>
  </si>
  <si>
    <t>Agregar al menu</t>
  </si>
  <si>
    <t>Implementar descuentos</t>
  </si>
  <si>
    <t>Caso de prueba: Obtener puntos</t>
  </si>
  <si>
    <t>Caso de prueba: Redimir puntos</t>
  </si>
  <si>
    <t xml:space="preserve">Realizar pruebas de verificación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</si>
</sst>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color rgb="FFFFFFFF"/>
      <name val="Arial"/>
    </font>
    <font>
      <b/>
      <sz val="11"/>
      <color rgb="FFFFFFFF"/>
      <name val="Arial"/>
    </font>
    <font>
      <b/>
      <sz val="10"/>
      <color rgb="FF6AA84F"/>
      <name val="Arial"/>
    </font>
    <font>
      <b/>
      <sz val="9"/>
      <color rgb="FFFFFFFF"/>
      <name val="Arial"/>
    </font>
    <font>
      <b/>
      <sz val="8.5"/>
      <color rgb="FF404040"/>
      <name val="Arial"/>
    </font>
    <font>
      <sz val="9"/>
      <color rgb="FF000000"/>
      <name val="Arial"/>
    </font>
    <font>
      <b/>
      <sz val="9"/>
      <color rgb="FF000000"/>
      <name val="Arial"/>
    </font>
    <font>
      <sz val="9"/>
      <color rgb="FF1F5C8B"/>
      <name val="Arial"/>
    </font>
    <font>
      <sz val="9"/>
      <color rgb="FF808080"/>
      <name val="Arial"/>
    </font>
    <font>
      <b/>
      <sz val="9"/>
      <color rgb="FF6AA84F"/>
      <name val="Arial"/>
    </font>
    <font>
      <sz val="9"/>
      <color rgb="FF000000"/>
      <name val="Arial"/>
      <family val="2"/>
    </font>
    <font>
      <b/>
      <sz val="8.5"/>
      <color rgb="FF404040"/>
      <name val="Arial"/>
      <family val="2"/>
    </font>
    <font>
      <b/>
      <sz val="9"/>
      <color rgb="FFFFFFFF"/>
      <name val="Arial"/>
      <family val="2"/>
    </font>
    <font>
      <u/>
      <sz val="11"/>
      <color theme="1"/>
      <name val="Calibri"/>
      <family val="2"/>
      <scheme val="minor"/>
    </font>
    <font>
      <b/>
      <sz val="11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C00000"/>
      </patternFill>
    </fill>
    <fill>
      <patternFill patternType="solid">
        <fgColor rgb="FFD9EAD3"/>
      </patternFill>
    </fill>
    <fill>
      <patternFill patternType="solid">
        <fgColor rgb="FF2C2C2C"/>
      </patternFill>
    </fill>
    <fill>
      <patternFill patternType="solid">
        <fgColor rgb="FFDEEBF7"/>
      </patternFill>
    </fill>
    <fill>
      <patternFill patternType="solid">
        <fgColor rgb="FFF0F0F0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/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4" fillId="5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7" borderId="0" xfId="0" applyFill="1"/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0" fillId="0" borderId="0" xfId="0" applyAlignment="1">
      <alignment horizontal="center"/>
    </xf>
    <xf numFmtId="0" fontId="11" fillId="0" borderId="1" xfId="0" applyFont="1" applyBorder="1" applyAlignment="1">
      <alignment horizontal="left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4" fillId="0" borderId="0" xfId="0" applyFont="1"/>
    <xf numFmtId="0" fontId="13" fillId="2" borderId="1" xfId="0" applyFont="1" applyFill="1" applyBorder="1" applyAlignment="1">
      <alignment horizontal="right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5" fillId="4" borderId="1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2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zoomScale="145" zoomScaleNormal="145" workbookViewId="0">
      <pane ySplit="3" topLeftCell="A4" activePane="bottomLeft" state="frozen"/>
      <selection pane="bottomLeft" activeCell="A3" sqref="A3:XFD3"/>
    </sheetView>
  </sheetViews>
  <sheetFormatPr baseColWidth="10" defaultColWidth="9.140625" defaultRowHeight="15" x14ac:dyDescent="0.25"/>
  <cols>
    <col min="1" max="1" width="28" customWidth="1"/>
    <col min="2" max="2" width="38.7109375" bestFit="1" customWidth="1"/>
    <col min="3" max="3" width="9" customWidth="1"/>
    <col min="4" max="8" width="7" customWidth="1"/>
    <col min="9" max="9" width="11" customWidth="1"/>
  </cols>
  <sheetData>
    <row r="1" spans="1:9" ht="21.95" customHeight="1" x14ac:dyDescent="0.25">
      <c r="A1" s="16" t="s">
        <v>0</v>
      </c>
      <c r="B1" s="15"/>
      <c r="C1" s="15"/>
      <c r="D1" s="15"/>
      <c r="E1" s="15"/>
      <c r="F1" s="15"/>
      <c r="G1" s="15"/>
      <c r="H1" s="15"/>
      <c r="I1" s="15"/>
    </row>
    <row r="2" spans="1:9" ht="20.100000000000001" customHeight="1" x14ac:dyDescent="0.25">
      <c r="A2" s="23" t="s">
        <v>1</v>
      </c>
      <c r="B2" s="15"/>
      <c r="C2" s="15"/>
      <c r="D2" s="15"/>
      <c r="E2" s="15"/>
      <c r="F2" s="15"/>
      <c r="G2" s="15"/>
      <c r="H2" s="18" t="s">
        <v>2</v>
      </c>
      <c r="I2" s="15"/>
    </row>
    <row r="3" spans="1:9" ht="27.95" customHeight="1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15.95" customHeight="1" x14ac:dyDescent="0.25">
      <c r="A4" s="22" t="s">
        <v>12</v>
      </c>
      <c r="B4" s="2" t="s">
        <v>13</v>
      </c>
      <c r="C4" s="3">
        <v>2</v>
      </c>
      <c r="D4" s="4">
        <v>2</v>
      </c>
      <c r="E4" s="5"/>
      <c r="F4" s="5"/>
      <c r="G4" s="5"/>
      <c r="H4" s="5"/>
      <c r="I4" s="6" t="s">
        <v>14</v>
      </c>
    </row>
    <row r="5" spans="1:9" ht="15.95" customHeight="1" x14ac:dyDescent="0.25">
      <c r="A5" s="20"/>
      <c r="B5" s="2" t="s">
        <v>15</v>
      </c>
      <c r="C5" s="3">
        <v>3</v>
      </c>
      <c r="D5" s="5"/>
      <c r="E5" s="4">
        <v>3</v>
      </c>
      <c r="F5" s="5"/>
      <c r="G5" s="5"/>
      <c r="H5" s="5"/>
      <c r="I5" s="6" t="s">
        <v>14</v>
      </c>
    </row>
    <row r="6" spans="1:9" ht="15.95" customHeight="1" x14ac:dyDescent="0.25">
      <c r="A6" s="20"/>
      <c r="B6" s="2" t="s">
        <v>16</v>
      </c>
      <c r="C6" s="3">
        <v>2</v>
      </c>
      <c r="D6" s="5"/>
      <c r="E6" s="4">
        <v>2</v>
      </c>
      <c r="F6" s="5"/>
      <c r="G6" s="5"/>
      <c r="H6" s="5"/>
      <c r="I6" s="6" t="s">
        <v>14</v>
      </c>
    </row>
    <row r="7" spans="1:9" ht="15.95" customHeight="1" x14ac:dyDescent="0.25">
      <c r="A7" s="20"/>
      <c r="B7" s="2" t="s">
        <v>17</v>
      </c>
      <c r="C7" s="3">
        <v>4</v>
      </c>
      <c r="D7" s="5"/>
      <c r="E7" s="5"/>
      <c r="F7" s="4">
        <v>4</v>
      </c>
      <c r="G7" s="5"/>
      <c r="H7" s="5"/>
      <c r="I7" s="6" t="s">
        <v>14</v>
      </c>
    </row>
    <row r="8" spans="1:9" ht="15.95" customHeight="1" x14ac:dyDescent="0.25">
      <c r="A8" s="20"/>
      <c r="B8" s="2" t="s">
        <v>18</v>
      </c>
      <c r="C8" s="3">
        <v>4</v>
      </c>
      <c r="D8" s="5"/>
      <c r="E8" s="5"/>
      <c r="F8" s="4">
        <v>4</v>
      </c>
      <c r="G8" s="5"/>
      <c r="H8" s="5"/>
      <c r="I8" s="6" t="s">
        <v>14</v>
      </c>
    </row>
    <row r="9" spans="1:9" ht="15.95" customHeight="1" x14ac:dyDescent="0.25">
      <c r="A9" s="20"/>
      <c r="B9" s="2" t="s">
        <v>19</v>
      </c>
      <c r="C9" s="3">
        <v>2</v>
      </c>
      <c r="D9" s="5"/>
      <c r="E9" s="5"/>
      <c r="F9" s="5"/>
      <c r="G9" s="4">
        <v>2</v>
      </c>
      <c r="H9" s="5"/>
      <c r="I9" s="6" t="s">
        <v>14</v>
      </c>
    </row>
    <row r="10" spans="1:9" ht="15.95" customHeight="1" x14ac:dyDescent="0.25">
      <c r="A10" s="20"/>
      <c r="B10" s="2" t="s">
        <v>20</v>
      </c>
      <c r="C10" s="3">
        <v>2</v>
      </c>
      <c r="D10" s="5"/>
      <c r="E10" s="5"/>
      <c r="F10" s="5"/>
      <c r="G10" s="4">
        <v>2</v>
      </c>
      <c r="H10" s="5"/>
      <c r="I10" s="6" t="s">
        <v>14</v>
      </c>
    </row>
    <row r="11" spans="1:9" ht="15.95" customHeight="1" x14ac:dyDescent="0.25">
      <c r="A11" s="21"/>
      <c r="B11" s="2" t="s">
        <v>21</v>
      </c>
      <c r="C11" s="3">
        <v>3</v>
      </c>
      <c r="D11" s="5"/>
      <c r="E11" s="5"/>
      <c r="F11" s="5"/>
      <c r="G11" s="5"/>
      <c r="H11" s="4">
        <v>3</v>
      </c>
      <c r="I11" s="6" t="s">
        <v>14</v>
      </c>
    </row>
    <row r="12" spans="1:9" ht="5.0999999999999996" customHeight="1" x14ac:dyDescent="0.25">
      <c r="A12" s="7"/>
      <c r="B12" s="7"/>
      <c r="C12" s="7"/>
      <c r="D12" s="7"/>
      <c r="E12" s="7"/>
      <c r="F12" s="7"/>
      <c r="G12" s="7"/>
      <c r="H12" s="7"/>
      <c r="I12" s="7"/>
    </row>
    <row r="13" spans="1:9" ht="15.95" customHeight="1" x14ac:dyDescent="0.25">
      <c r="A13" s="22" t="s">
        <v>22</v>
      </c>
      <c r="B13" s="2" t="s">
        <v>23</v>
      </c>
      <c r="C13" s="3">
        <v>2</v>
      </c>
      <c r="D13" s="4">
        <v>2</v>
      </c>
      <c r="E13" s="5"/>
      <c r="F13" s="5"/>
      <c r="G13" s="5"/>
      <c r="H13" s="5"/>
      <c r="I13" s="6" t="s">
        <v>14</v>
      </c>
    </row>
    <row r="14" spans="1:9" ht="15.95" customHeight="1" x14ac:dyDescent="0.25">
      <c r="A14" s="20"/>
      <c r="B14" s="2" t="s">
        <v>24</v>
      </c>
      <c r="C14" s="3">
        <v>3</v>
      </c>
      <c r="D14" s="5"/>
      <c r="E14" s="4">
        <v>3</v>
      </c>
      <c r="F14" s="5"/>
      <c r="G14" s="5"/>
      <c r="H14" s="5"/>
      <c r="I14" s="6" t="s">
        <v>14</v>
      </c>
    </row>
    <row r="15" spans="1:9" ht="15.95" customHeight="1" x14ac:dyDescent="0.25">
      <c r="A15" s="20"/>
      <c r="B15" s="11" t="s">
        <v>70</v>
      </c>
      <c r="C15" s="3">
        <v>5</v>
      </c>
      <c r="D15" s="5"/>
      <c r="E15" s="5"/>
      <c r="F15" s="4">
        <v>5</v>
      </c>
      <c r="G15" s="5"/>
      <c r="H15" s="5"/>
      <c r="I15" s="6" t="s">
        <v>14</v>
      </c>
    </row>
    <row r="16" spans="1:9" ht="15.95" customHeight="1" x14ac:dyDescent="0.25">
      <c r="A16" s="20"/>
      <c r="B16" s="11" t="s">
        <v>71</v>
      </c>
      <c r="C16" s="3">
        <v>2</v>
      </c>
      <c r="D16" s="5"/>
      <c r="E16" s="4">
        <v>2</v>
      </c>
      <c r="F16" s="5"/>
      <c r="G16" s="5"/>
      <c r="H16" s="5"/>
      <c r="I16" s="6" t="s">
        <v>14</v>
      </c>
    </row>
    <row r="17" spans="1:9" ht="15.95" customHeight="1" x14ac:dyDescent="0.25">
      <c r="A17" s="20"/>
      <c r="B17" s="11" t="s">
        <v>72</v>
      </c>
      <c r="C17" s="3">
        <v>4</v>
      </c>
      <c r="D17" s="5"/>
      <c r="E17" s="5"/>
      <c r="F17" s="4">
        <v>4</v>
      </c>
      <c r="G17" s="5"/>
      <c r="H17" s="5"/>
      <c r="I17" s="6" t="s">
        <v>14</v>
      </c>
    </row>
    <row r="18" spans="1:9" ht="15.95" customHeight="1" x14ac:dyDescent="0.25">
      <c r="A18" s="20"/>
      <c r="B18" s="11" t="s">
        <v>73</v>
      </c>
      <c r="C18" s="3">
        <v>3</v>
      </c>
      <c r="D18" s="5"/>
      <c r="E18" s="5"/>
      <c r="F18" s="5"/>
      <c r="G18" s="4">
        <v>3</v>
      </c>
      <c r="H18" s="5"/>
      <c r="I18" s="6" t="s">
        <v>14</v>
      </c>
    </row>
    <row r="19" spans="1:9" ht="15.95" customHeight="1" x14ac:dyDescent="0.25">
      <c r="A19" s="20"/>
      <c r="B19" s="11" t="s">
        <v>74</v>
      </c>
      <c r="C19" s="3">
        <v>2</v>
      </c>
      <c r="D19" s="5"/>
      <c r="E19" s="5"/>
      <c r="F19" s="5"/>
      <c r="G19" s="4">
        <v>2</v>
      </c>
      <c r="H19" s="5"/>
      <c r="I19" s="6" t="s">
        <v>14</v>
      </c>
    </row>
    <row r="20" spans="1:9" ht="15.95" customHeight="1" x14ac:dyDescent="0.25">
      <c r="A20" s="20"/>
      <c r="B20" s="2" t="s">
        <v>25</v>
      </c>
      <c r="C20" s="3">
        <v>2</v>
      </c>
      <c r="D20" s="5"/>
      <c r="E20" s="5"/>
      <c r="F20" s="5"/>
      <c r="G20" s="4">
        <v>2</v>
      </c>
      <c r="H20" s="5"/>
      <c r="I20" s="6" t="s">
        <v>14</v>
      </c>
    </row>
    <row r="21" spans="1:9" ht="15.95" customHeight="1" x14ac:dyDescent="0.25">
      <c r="A21" s="21"/>
      <c r="B21" s="2" t="s">
        <v>26</v>
      </c>
      <c r="C21" s="3">
        <v>4</v>
      </c>
      <c r="D21" s="5"/>
      <c r="E21" s="5"/>
      <c r="F21" s="5"/>
      <c r="G21" s="5"/>
      <c r="H21" s="4">
        <v>4</v>
      </c>
      <c r="I21" s="6" t="s">
        <v>14</v>
      </c>
    </row>
    <row r="22" spans="1:9" ht="5.0999999999999996" customHeight="1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ht="18" customHeight="1" x14ac:dyDescent="0.25">
      <c r="A23" s="14" t="s">
        <v>91</v>
      </c>
      <c r="B23" s="15"/>
      <c r="C23" s="8">
        <f>SUM(C4:C21)</f>
        <v>49</v>
      </c>
      <c r="D23" s="9"/>
      <c r="E23" s="9"/>
      <c r="F23" s="9"/>
      <c r="G23" s="9"/>
      <c r="H23" s="9"/>
      <c r="I23" s="9"/>
    </row>
    <row r="24" spans="1:9" x14ac:dyDescent="0.25">
      <c r="C24" s="13"/>
    </row>
  </sheetData>
  <mergeCells count="6">
    <mergeCell ref="A13:A21"/>
    <mergeCell ref="A23:B23"/>
    <mergeCell ref="H2:I2"/>
    <mergeCell ref="A1:I1"/>
    <mergeCell ref="A2:G2"/>
    <mergeCell ref="A4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zoomScale="160" zoomScaleNormal="160" workbookViewId="0">
      <pane ySplit="3" topLeftCell="A4" activePane="bottomLeft" state="frozen"/>
      <selection pane="bottomLeft" activeCell="A3" sqref="A3:XFD3"/>
    </sheetView>
  </sheetViews>
  <sheetFormatPr baseColWidth="10" defaultColWidth="9.140625" defaultRowHeight="15" x14ac:dyDescent="0.25"/>
  <cols>
    <col min="1" max="1" width="28" customWidth="1"/>
    <col min="2" max="2" width="43" customWidth="1"/>
    <col min="3" max="3" width="9" customWidth="1"/>
    <col min="4" max="8" width="7" customWidth="1"/>
    <col min="9" max="9" width="11" customWidth="1"/>
  </cols>
  <sheetData>
    <row r="1" spans="1:9" ht="21.95" customHeight="1" x14ac:dyDescent="0.25">
      <c r="A1" s="16" t="s">
        <v>0</v>
      </c>
      <c r="B1" s="15"/>
      <c r="C1" s="15"/>
      <c r="D1" s="15"/>
      <c r="E1" s="15"/>
      <c r="F1" s="15"/>
      <c r="G1" s="15"/>
      <c r="H1" s="15"/>
      <c r="I1" s="15"/>
    </row>
    <row r="2" spans="1:9" ht="20.100000000000001" customHeight="1" x14ac:dyDescent="0.25">
      <c r="A2" s="23" t="s">
        <v>27</v>
      </c>
      <c r="B2" s="15"/>
      <c r="C2" s="15"/>
      <c r="D2" s="15"/>
      <c r="E2" s="15"/>
      <c r="F2" s="15"/>
      <c r="G2" s="15"/>
      <c r="H2" s="18" t="s">
        <v>2</v>
      </c>
      <c r="I2" s="15"/>
    </row>
    <row r="3" spans="1:9" ht="27.95" customHeight="1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15.95" customHeight="1" x14ac:dyDescent="0.25">
      <c r="A4" s="24" t="s">
        <v>67</v>
      </c>
      <c r="B4" s="2" t="s">
        <v>28</v>
      </c>
      <c r="C4" s="3">
        <v>2</v>
      </c>
      <c r="D4" s="4">
        <v>2</v>
      </c>
      <c r="E4" s="5"/>
      <c r="F4" s="5"/>
      <c r="G4" s="5"/>
      <c r="H4" s="5"/>
      <c r="I4" s="6" t="s">
        <v>14</v>
      </c>
    </row>
    <row r="5" spans="1:9" ht="15.95" customHeight="1" x14ac:dyDescent="0.25">
      <c r="A5" s="20"/>
      <c r="B5" s="2" t="s">
        <v>29</v>
      </c>
      <c r="C5" s="3">
        <v>3</v>
      </c>
      <c r="D5" s="5"/>
      <c r="E5" s="4">
        <v>3</v>
      </c>
      <c r="F5" s="5"/>
      <c r="G5" s="5"/>
      <c r="H5" s="5"/>
      <c r="I5" s="6" t="s">
        <v>14</v>
      </c>
    </row>
    <row r="6" spans="1:9" ht="15.95" customHeight="1" x14ac:dyDescent="0.25">
      <c r="A6" s="20"/>
      <c r="B6" s="2" t="s">
        <v>30</v>
      </c>
      <c r="C6" s="3">
        <v>5</v>
      </c>
      <c r="D6" s="5"/>
      <c r="E6" s="5"/>
      <c r="F6" s="4">
        <v>5</v>
      </c>
      <c r="G6" s="5"/>
      <c r="H6" s="5"/>
      <c r="I6" s="6" t="s">
        <v>14</v>
      </c>
    </row>
    <row r="7" spans="1:9" ht="15.95" customHeight="1" x14ac:dyDescent="0.25">
      <c r="A7" s="20"/>
      <c r="B7" s="2" t="s">
        <v>31</v>
      </c>
      <c r="C7" s="3">
        <v>4</v>
      </c>
      <c r="D7" s="5"/>
      <c r="E7" s="5"/>
      <c r="F7" s="4">
        <v>4</v>
      </c>
      <c r="G7" s="5"/>
      <c r="H7" s="5"/>
      <c r="I7" s="6" t="s">
        <v>14</v>
      </c>
    </row>
    <row r="8" spans="1:9" ht="15.95" customHeight="1" x14ac:dyDescent="0.25">
      <c r="A8" s="20"/>
      <c r="B8" s="11" t="s">
        <v>32</v>
      </c>
      <c r="C8" s="3">
        <v>4</v>
      </c>
      <c r="D8" s="5"/>
      <c r="E8" s="5"/>
      <c r="F8" s="5"/>
      <c r="G8" s="4">
        <v>4</v>
      </c>
      <c r="H8" s="5"/>
      <c r="I8" s="6" t="s">
        <v>14</v>
      </c>
    </row>
    <row r="9" spans="1:9" ht="15.95" customHeight="1" x14ac:dyDescent="0.25">
      <c r="A9" s="20"/>
      <c r="B9" s="11" t="s">
        <v>66</v>
      </c>
      <c r="C9" s="3">
        <v>5</v>
      </c>
      <c r="D9" s="5"/>
      <c r="E9" s="5"/>
      <c r="F9" s="5"/>
      <c r="G9" s="4">
        <v>5</v>
      </c>
      <c r="H9" s="5"/>
      <c r="I9" s="6" t="s">
        <v>14</v>
      </c>
    </row>
    <row r="10" spans="1:9" ht="15.95" customHeight="1" x14ac:dyDescent="0.25">
      <c r="A10" s="20"/>
      <c r="B10" s="11" t="s">
        <v>75</v>
      </c>
      <c r="C10" s="3">
        <v>5</v>
      </c>
      <c r="D10" s="5"/>
      <c r="E10" s="5"/>
      <c r="F10" s="5"/>
      <c r="G10" s="5"/>
      <c r="H10" s="4">
        <v>5</v>
      </c>
      <c r="I10" s="6" t="s">
        <v>14</v>
      </c>
    </row>
    <row r="11" spans="1:9" ht="15.95" customHeight="1" x14ac:dyDescent="0.25">
      <c r="A11" s="21"/>
      <c r="B11" s="2" t="s">
        <v>33</v>
      </c>
      <c r="C11" s="3">
        <v>5</v>
      </c>
      <c r="D11" s="5"/>
      <c r="E11" s="5"/>
      <c r="F11" s="5"/>
      <c r="G11" s="5"/>
      <c r="H11" s="4">
        <v>5</v>
      </c>
      <c r="I11" s="6" t="s">
        <v>14</v>
      </c>
    </row>
    <row r="12" spans="1:9" ht="5.0999999999999996" customHeight="1" x14ac:dyDescent="0.25">
      <c r="A12" s="7"/>
      <c r="B12" s="7"/>
      <c r="C12" s="7"/>
      <c r="D12" s="7"/>
      <c r="E12" s="7"/>
      <c r="F12" s="7"/>
      <c r="G12" s="7"/>
      <c r="H12" s="7"/>
      <c r="I12" s="12"/>
    </row>
    <row r="13" spans="1:9" ht="15.95" customHeight="1" x14ac:dyDescent="0.25">
      <c r="A13" s="25" t="s">
        <v>60</v>
      </c>
      <c r="B13" s="2" t="s">
        <v>34</v>
      </c>
      <c r="C13" s="3">
        <v>4</v>
      </c>
      <c r="D13" s="4">
        <v>4</v>
      </c>
      <c r="E13" s="5"/>
      <c r="F13" s="5"/>
      <c r="G13" s="5"/>
      <c r="H13" s="5"/>
      <c r="I13" s="6" t="s">
        <v>14</v>
      </c>
    </row>
    <row r="14" spans="1:9" ht="15.95" customHeight="1" x14ac:dyDescent="0.25">
      <c r="A14" s="20"/>
      <c r="B14" s="2" t="s">
        <v>35</v>
      </c>
      <c r="C14" s="3">
        <v>6</v>
      </c>
      <c r="D14" s="4">
        <v>2</v>
      </c>
      <c r="E14" s="4">
        <v>4</v>
      </c>
      <c r="F14" s="5"/>
      <c r="G14" s="5"/>
      <c r="H14" s="5"/>
      <c r="I14" s="6" t="s">
        <v>14</v>
      </c>
    </row>
    <row r="15" spans="1:9" ht="15.95" customHeight="1" x14ac:dyDescent="0.25">
      <c r="A15" s="20"/>
      <c r="B15" s="2" t="s">
        <v>36</v>
      </c>
      <c r="C15" s="3">
        <v>4</v>
      </c>
      <c r="D15" s="5"/>
      <c r="E15" s="4">
        <v>4</v>
      </c>
      <c r="F15" s="5"/>
      <c r="G15" s="5"/>
      <c r="H15" s="5"/>
      <c r="I15" s="6" t="s">
        <v>14</v>
      </c>
    </row>
    <row r="16" spans="1:9" ht="15.95" customHeight="1" x14ac:dyDescent="0.25">
      <c r="A16" s="20"/>
      <c r="B16" s="11" t="s">
        <v>69</v>
      </c>
      <c r="C16" s="3">
        <v>5</v>
      </c>
      <c r="D16" s="5"/>
      <c r="E16" s="5"/>
      <c r="F16" s="4">
        <v>5</v>
      </c>
      <c r="G16" s="5"/>
      <c r="H16" s="5"/>
      <c r="I16" s="6" t="s">
        <v>14</v>
      </c>
    </row>
    <row r="17" spans="1:9" ht="15.95" customHeight="1" x14ac:dyDescent="0.25">
      <c r="A17" s="20"/>
      <c r="B17" s="11" t="s">
        <v>68</v>
      </c>
      <c r="C17" s="3">
        <v>5</v>
      </c>
      <c r="D17" s="5"/>
      <c r="E17" s="5"/>
      <c r="F17" s="5"/>
      <c r="G17" s="4">
        <v>5</v>
      </c>
      <c r="H17" s="5"/>
      <c r="I17" s="6" t="s">
        <v>14</v>
      </c>
    </row>
    <row r="18" spans="1:9" ht="15.95" customHeight="1" x14ac:dyDescent="0.25">
      <c r="A18" s="21"/>
      <c r="B18" s="2" t="s">
        <v>33</v>
      </c>
      <c r="C18" s="3">
        <v>5</v>
      </c>
      <c r="D18" s="5"/>
      <c r="E18" s="5"/>
      <c r="F18" s="5"/>
      <c r="G18" s="5"/>
      <c r="H18" s="4">
        <v>5</v>
      </c>
      <c r="I18" s="6" t="s">
        <v>14</v>
      </c>
    </row>
    <row r="19" spans="1:9" ht="5.0999999999999996" customHeight="1" x14ac:dyDescent="0.25">
      <c r="A19" s="7"/>
      <c r="B19" s="7"/>
      <c r="C19" s="7"/>
      <c r="D19" s="7"/>
      <c r="E19" s="7"/>
      <c r="F19" s="7"/>
      <c r="G19" s="7"/>
      <c r="H19" s="7"/>
      <c r="I19" s="7"/>
    </row>
    <row r="20" spans="1:9" ht="18" customHeight="1" x14ac:dyDescent="0.25">
      <c r="A20" s="14" t="s">
        <v>91</v>
      </c>
      <c r="B20" s="15"/>
      <c r="C20" s="8">
        <f>SUM(C4:C19)</f>
        <v>62</v>
      </c>
      <c r="D20" s="9"/>
      <c r="E20" s="9"/>
      <c r="F20" s="9"/>
      <c r="G20" s="9"/>
      <c r="H20" s="9"/>
      <c r="I20" s="9"/>
    </row>
  </sheetData>
  <mergeCells count="6">
    <mergeCell ref="A20:B20"/>
    <mergeCell ref="H2:I2"/>
    <mergeCell ref="A1:I1"/>
    <mergeCell ref="A2:G2"/>
    <mergeCell ref="A4:A11"/>
    <mergeCell ref="A13:A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8"/>
  <sheetViews>
    <sheetView zoomScale="160" zoomScaleNormal="160" workbookViewId="0">
      <pane ySplit="3" topLeftCell="A4" activePane="bottomLeft" state="frozen"/>
      <selection pane="bottomLeft" activeCell="A3" sqref="A3:XFD3"/>
    </sheetView>
  </sheetViews>
  <sheetFormatPr baseColWidth="10" defaultColWidth="9.140625" defaultRowHeight="15" x14ac:dyDescent="0.25"/>
  <cols>
    <col min="1" max="1" width="28" customWidth="1"/>
    <col min="2" max="2" width="43" customWidth="1"/>
    <col min="3" max="3" width="9" customWidth="1"/>
    <col min="4" max="8" width="7" customWidth="1"/>
    <col min="9" max="9" width="11" customWidth="1"/>
  </cols>
  <sheetData>
    <row r="1" spans="1:9" ht="21.95" customHeight="1" x14ac:dyDescent="0.25">
      <c r="A1" s="16" t="s">
        <v>0</v>
      </c>
      <c r="B1" s="15"/>
      <c r="C1" s="15"/>
      <c r="D1" s="15"/>
      <c r="E1" s="15"/>
      <c r="F1" s="15"/>
      <c r="G1" s="15"/>
      <c r="H1" s="15"/>
      <c r="I1" s="15"/>
    </row>
    <row r="2" spans="1:9" ht="20.100000000000001" customHeight="1" x14ac:dyDescent="0.25">
      <c r="A2" s="23" t="s">
        <v>37</v>
      </c>
      <c r="B2" s="15"/>
      <c r="C2" s="15"/>
      <c r="D2" s="15"/>
      <c r="E2" s="15"/>
      <c r="F2" s="15"/>
      <c r="G2" s="15"/>
      <c r="H2" s="18" t="s">
        <v>2</v>
      </c>
      <c r="I2" s="15"/>
    </row>
    <row r="3" spans="1:9" ht="27.95" customHeight="1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15.95" customHeight="1" x14ac:dyDescent="0.25">
      <c r="A4" s="26" t="s">
        <v>61</v>
      </c>
      <c r="B4" s="2" t="s">
        <v>34</v>
      </c>
      <c r="C4" s="3">
        <v>2</v>
      </c>
      <c r="D4" s="4">
        <v>2</v>
      </c>
      <c r="E4" s="5"/>
      <c r="F4" s="5"/>
      <c r="G4" s="5"/>
      <c r="H4" s="5"/>
      <c r="I4" s="6" t="s">
        <v>14</v>
      </c>
    </row>
    <row r="5" spans="1:9" ht="15.95" customHeight="1" x14ac:dyDescent="0.25">
      <c r="A5" s="20"/>
      <c r="B5" s="2" t="s">
        <v>35</v>
      </c>
      <c r="C5" s="3">
        <v>3</v>
      </c>
      <c r="D5" s="5"/>
      <c r="E5" s="4">
        <v>4</v>
      </c>
      <c r="F5" s="5"/>
      <c r="G5" s="5"/>
      <c r="H5" s="5"/>
      <c r="I5" s="6" t="s">
        <v>14</v>
      </c>
    </row>
    <row r="6" spans="1:9" ht="15.95" customHeight="1" x14ac:dyDescent="0.25">
      <c r="A6" s="20"/>
      <c r="B6" s="2" t="s">
        <v>36</v>
      </c>
      <c r="C6" s="3">
        <v>5</v>
      </c>
      <c r="D6" s="5"/>
      <c r="E6" s="4">
        <v>4</v>
      </c>
      <c r="F6" s="5"/>
      <c r="G6" s="5"/>
      <c r="H6" s="5"/>
      <c r="I6" s="6" t="s">
        <v>14</v>
      </c>
    </row>
    <row r="7" spans="1:9" ht="15.95" customHeight="1" x14ac:dyDescent="0.25">
      <c r="A7" s="20"/>
      <c r="B7" s="11" t="s">
        <v>69</v>
      </c>
      <c r="C7" s="3">
        <v>4</v>
      </c>
      <c r="D7" s="5"/>
      <c r="E7" s="5"/>
      <c r="F7" s="4">
        <v>5</v>
      </c>
      <c r="G7" s="5"/>
      <c r="H7" s="5"/>
      <c r="I7" s="6" t="s">
        <v>14</v>
      </c>
    </row>
    <row r="8" spans="1:9" ht="15.95" customHeight="1" x14ac:dyDescent="0.25">
      <c r="A8" s="20"/>
      <c r="B8" s="11" t="s">
        <v>78</v>
      </c>
      <c r="C8" s="3">
        <v>4</v>
      </c>
      <c r="D8" s="5"/>
      <c r="E8" s="5"/>
      <c r="F8" s="5"/>
      <c r="G8" s="4">
        <v>4</v>
      </c>
      <c r="H8" s="5"/>
      <c r="I8" s="6" t="s">
        <v>14</v>
      </c>
    </row>
    <row r="9" spans="1:9" ht="15.95" customHeight="1" x14ac:dyDescent="0.25">
      <c r="A9" s="20"/>
      <c r="B9" s="2" t="s">
        <v>33</v>
      </c>
      <c r="C9" s="3">
        <v>2</v>
      </c>
      <c r="D9" s="5"/>
      <c r="E9" s="5"/>
      <c r="F9" s="5"/>
      <c r="G9" s="5"/>
      <c r="H9" s="4">
        <v>3</v>
      </c>
      <c r="I9" s="6" t="s">
        <v>14</v>
      </c>
    </row>
    <row r="10" spans="1:9" ht="4.5" customHeight="1" x14ac:dyDescent="0.25">
      <c r="A10" s="7"/>
      <c r="B10" s="7"/>
      <c r="C10" s="7"/>
      <c r="D10" s="7"/>
      <c r="E10" s="7"/>
      <c r="F10" s="7"/>
      <c r="G10" s="7"/>
      <c r="H10" s="7"/>
      <c r="I10" s="7"/>
    </row>
    <row r="11" spans="1:9" ht="15.95" customHeight="1" x14ac:dyDescent="0.25">
      <c r="A11" s="26" t="s">
        <v>62</v>
      </c>
      <c r="B11" s="2" t="s">
        <v>38</v>
      </c>
      <c r="C11" s="3">
        <v>2</v>
      </c>
      <c r="D11" s="4">
        <v>3</v>
      </c>
      <c r="E11" s="5"/>
      <c r="F11" s="5"/>
      <c r="G11" s="5"/>
      <c r="H11" s="5"/>
      <c r="I11" s="6" t="s">
        <v>14</v>
      </c>
    </row>
    <row r="12" spans="1:9" ht="15.95" customHeight="1" x14ac:dyDescent="0.25">
      <c r="A12" s="20"/>
      <c r="B12" s="2" t="s">
        <v>39</v>
      </c>
      <c r="C12" s="3">
        <v>3</v>
      </c>
      <c r="D12" s="5"/>
      <c r="E12" s="4">
        <v>4</v>
      </c>
      <c r="F12" s="5"/>
      <c r="G12" s="5"/>
      <c r="H12" s="5"/>
      <c r="I12" s="6" t="s">
        <v>14</v>
      </c>
    </row>
    <row r="13" spans="1:9" ht="15.95" customHeight="1" x14ac:dyDescent="0.25">
      <c r="A13" s="20"/>
      <c r="B13" s="2" t="s">
        <v>40</v>
      </c>
      <c r="C13" s="3">
        <v>5</v>
      </c>
      <c r="D13" s="5"/>
      <c r="E13" s="5"/>
      <c r="F13" s="4">
        <v>5</v>
      </c>
      <c r="G13" s="5"/>
      <c r="H13" s="5"/>
      <c r="I13" s="6" t="s">
        <v>14</v>
      </c>
    </row>
    <row r="14" spans="1:9" ht="15.95" customHeight="1" x14ac:dyDescent="0.25">
      <c r="A14" s="20"/>
      <c r="B14" s="2" t="s">
        <v>76</v>
      </c>
      <c r="C14" s="3">
        <v>4</v>
      </c>
      <c r="D14" s="5"/>
      <c r="E14" s="5"/>
      <c r="F14" s="5"/>
      <c r="G14" s="4">
        <v>4</v>
      </c>
      <c r="H14" s="5"/>
      <c r="I14" s="6" t="s">
        <v>14</v>
      </c>
    </row>
    <row r="15" spans="1:9" ht="15.95" customHeight="1" x14ac:dyDescent="0.25">
      <c r="A15" s="20"/>
      <c r="B15" s="2" t="s">
        <v>77</v>
      </c>
      <c r="C15" s="3">
        <v>5</v>
      </c>
      <c r="D15" s="5"/>
      <c r="E15" s="5"/>
      <c r="F15" s="5"/>
      <c r="G15" s="4">
        <v>1</v>
      </c>
      <c r="H15" s="4">
        <v>5</v>
      </c>
      <c r="I15" s="6" t="s">
        <v>14</v>
      </c>
    </row>
    <row r="16" spans="1:9" ht="15.95" customHeight="1" x14ac:dyDescent="0.25">
      <c r="A16" s="20"/>
      <c r="B16" s="2" t="s">
        <v>33</v>
      </c>
      <c r="C16" s="3">
        <v>2</v>
      </c>
      <c r="D16" s="5"/>
      <c r="E16" s="5"/>
      <c r="F16" s="5"/>
      <c r="G16" s="5"/>
      <c r="H16" s="4">
        <v>4</v>
      </c>
      <c r="I16" s="6" t="s">
        <v>14</v>
      </c>
    </row>
    <row r="17" spans="1:9" ht="6.75" customHeight="1" x14ac:dyDescent="0.25">
      <c r="A17" s="7"/>
      <c r="B17" s="7"/>
      <c r="C17" s="7"/>
      <c r="D17" s="7"/>
      <c r="E17" s="7"/>
      <c r="F17" s="7"/>
      <c r="G17" s="7"/>
      <c r="H17" s="7"/>
      <c r="I17" s="7"/>
    </row>
    <row r="18" spans="1:9" ht="18" customHeight="1" x14ac:dyDescent="0.25">
      <c r="A18" s="14" t="s">
        <v>91</v>
      </c>
      <c r="B18" s="15"/>
      <c r="C18" s="8">
        <f>SUM(C4:C16)</f>
        <v>41</v>
      </c>
      <c r="D18" s="9"/>
      <c r="E18" s="9"/>
      <c r="F18" s="9"/>
      <c r="G18" s="9"/>
      <c r="H18" s="9"/>
      <c r="I18" s="9"/>
    </row>
  </sheetData>
  <mergeCells count="6">
    <mergeCell ref="A18:B18"/>
    <mergeCell ref="H2:I2"/>
    <mergeCell ref="A1:I1"/>
    <mergeCell ref="A2:G2"/>
    <mergeCell ref="A4:A9"/>
    <mergeCell ref="A11:A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zoomScale="175" zoomScaleNormal="175" workbookViewId="0">
      <pane ySplit="3" topLeftCell="A4" activePane="bottomLeft" state="frozen"/>
      <selection pane="bottomLeft" activeCell="A3" sqref="A3:XFD3"/>
    </sheetView>
  </sheetViews>
  <sheetFormatPr baseColWidth="10" defaultColWidth="9.140625" defaultRowHeight="15" x14ac:dyDescent="0.25"/>
  <cols>
    <col min="1" max="1" width="28" customWidth="1"/>
    <col min="2" max="2" width="43" customWidth="1"/>
    <col min="3" max="3" width="9" customWidth="1"/>
    <col min="4" max="8" width="7" customWidth="1"/>
    <col min="9" max="9" width="11" customWidth="1"/>
  </cols>
  <sheetData>
    <row r="1" spans="1:9" ht="21.95" customHeight="1" x14ac:dyDescent="0.25">
      <c r="A1" s="16" t="s">
        <v>0</v>
      </c>
      <c r="B1" s="15"/>
      <c r="C1" s="15"/>
      <c r="D1" s="15"/>
      <c r="E1" s="15"/>
      <c r="F1" s="15"/>
      <c r="G1" s="15"/>
      <c r="H1" s="15"/>
      <c r="I1" s="15"/>
    </row>
    <row r="2" spans="1:9" ht="20.100000000000001" customHeight="1" x14ac:dyDescent="0.25">
      <c r="A2" s="23" t="s">
        <v>41</v>
      </c>
      <c r="B2" s="15"/>
      <c r="C2" s="15"/>
      <c r="D2" s="15"/>
      <c r="E2" s="15"/>
      <c r="F2" s="15"/>
      <c r="G2" s="15"/>
      <c r="H2" s="18" t="s">
        <v>2</v>
      </c>
      <c r="I2" s="15"/>
    </row>
    <row r="3" spans="1:9" ht="27.95" customHeight="1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15.95" customHeight="1" x14ac:dyDescent="0.25">
      <c r="A4" s="26" t="s">
        <v>63</v>
      </c>
      <c r="B4" s="2" t="s">
        <v>79</v>
      </c>
      <c r="C4" s="3">
        <v>2</v>
      </c>
      <c r="D4" s="4">
        <v>3</v>
      </c>
      <c r="E4" s="5"/>
      <c r="F4" s="5"/>
      <c r="G4" s="5"/>
      <c r="H4" s="5"/>
      <c r="I4" s="6" t="s">
        <v>14</v>
      </c>
    </row>
    <row r="5" spans="1:9" ht="15.95" customHeight="1" x14ac:dyDescent="0.25">
      <c r="A5" s="20"/>
      <c r="B5" s="2" t="s">
        <v>80</v>
      </c>
      <c r="C5" s="3">
        <v>5</v>
      </c>
      <c r="D5" s="4">
        <v>4</v>
      </c>
      <c r="E5" s="4">
        <v>3</v>
      </c>
      <c r="F5" s="5"/>
      <c r="G5" s="5"/>
      <c r="H5" s="5"/>
      <c r="I5" s="6" t="s">
        <v>14</v>
      </c>
    </row>
    <row r="6" spans="1:9" ht="15.95" customHeight="1" x14ac:dyDescent="0.25">
      <c r="A6" s="20"/>
      <c r="B6" s="2" t="s">
        <v>81</v>
      </c>
      <c r="C6" s="3">
        <v>4</v>
      </c>
      <c r="D6" s="5"/>
      <c r="E6" s="4">
        <v>5</v>
      </c>
      <c r="F6" s="5"/>
      <c r="G6" s="5"/>
      <c r="H6" s="5"/>
      <c r="I6" s="6" t="s">
        <v>14</v>
      </c>
    </row>
    <row r="7" spans="1:9" ht="15.95" customHeight="1" x14ac:dyDescent="0.25">
      <c r="A7" s="20"/>
      <c r="B7" s="2" t="s">
        <v>82</v>
      </c>
      <c r="C7" s="3">
        <v>4</v>
      </c>
      <c r="D7" s="5"/>
      <c r="E7" s="5"/>
      <c r="F7" s="4">
        <v>4</v>
      </c>
      <c r="G7" s="5"/>
      <c r="H7" s="5"/>
      <c r="I7" s="6" t="s">
        <v>14</v>
      </c>
    </row>
    <row r="8" spans="1:9" ht="15.95" customHeight="1" x14ac:dyDescent="0.25">
      <c r="A8" s="20"/>
      <c r="B8" s="2" t="s">
        <v>83</v>
      </c>
      <c r="C8" s="3">
        <v>2</v>
      </c>
      <c r="D8" s="5"/>
      <c r="E8" s="5"/>
      <c r="F8" s="4">
        <v>1</v>
      </c>
      <c r="G8" s="4">
        <v>1</v>
      </c>
      <c r="H8" s="5"/>
      <c r="I8" s="6" t="s">
        <v>14</v>
      </c>
    </row>
    <row r="9" spans="1:9" ht="15.95" customHeight="1" x14ac:dyDescent="0.25">
      <c r="A9" s="21"/>
      <c r="B9" s="2" t="s">
        <v>84</v>
      </c>
      <c r="C9" s="3">
        <v>3</v>
      </c>
      <c r="D9" s="5"/>
      <c r="E9" s="5"/>
      <c r="F9" s="5"/>
      <c r="G9" s="5"/>
      <c r="H9" s="4">
        <v>3</v>
      </c>
      <c r="I9" s="6" t="s">
        <v>14</v>
      </c>
    </row>
    <row r="10" spans="1:9" ht="5.0999999999999996" customHeight="1" x14ac:dyDescent="0.25">
      <c r="A10" s="7"/>
      <c r="B10" s="7"/>
      <c r="C10" s="7"/>
      <c r="D10" s="7"/>
      <c r="E10" s="7"/>
      <c r="F10" s="7"/>
      <c r="G10" s="7"/>
      <c r="H10" s="7"/>
      <c r="I10" s="7"/>
    </row>
    <row r="11" spans="1:9" ht="15.95" customHeight="1" x14ac:dyDescent="0.25">
      <c r="A11" s="26" t="s">
        <v>64</v>
      </c>
      <c r="B11" s="11" t="s">
        <v>85</v>
      </c>
      <c r="C11" s="3">
        <v>4</v>
      </c>
      <c r="D11" s="4">
        <v>5</v>
      </c>
      <c r="E11" s="5"/>
      <c r="F11" s="5"/>
      <c r="G11" s="5"/>
      <c r="H11" s="5"/>
      <c r="I11" s="6" t="s">
        <v>14</v>
      </c>
    </row>
    <row r="12" spans="1:9" ht="15.95" customHeight="1" x14ac:dyDescent="0.25">
      <c r="A12" s="20"/>
      <c r="B12" s="11" t="s">
        <v>42</v>
      </c>
      <c r="C12" s="3">
        <v>5</v>
      </c>
      <c r="D12" s="4">
        <v>4</v>
      </c>
      <c r="E12" s="4">
        <v>2</v>
      </c>
      <c r="F12" s="5"/>
      <c r="G12" s="5"/>
      <c r="H12" s="5"/>
      <c r="I12" s="6" t="s">
        <v>14</v>
      </c>
    </row>
    <row r="13" spans="1:9" ht="15.95" customHeight="1" x14ac:dyDescent="0.25">
      <c r="A13" s="20"/>
      <c r="B13" s="11" t="s">
        <v>86</v>
      </c>
      <c r="C13" s="3">
        <v>4</v>
      </c>
      <c r="D13" s="5"/>
      <c r="E13" s="4">
        <v>3</v>
      </c>
      <c r="F13" s="4">
        <v>3</v>
      </c>
      <c r="G13" s="5"/>
      <c r="H13" s="5"/>
      <c r="I13" s="6" t="s">
        <v>14</v>
      </c>
    </row>
    <row r="14" spans="1:9" ht="15.95" customHeight="1" x14ac:dyDescent="0.25">
      <c r="A14" s="20"/>
      <c r="B14" s="11" t="s">
        <v>87</v>
      </c>
      <c r="C14" s="3">
        <v>4</v>
      </c>
      <c r="D14" s="5"/>
      <c r="E14" s="5"/>
      <c r="F14" s="4">
        <v>5</v>
      </c>
      <c r="G14" s="5"/>
      <c r="H14" s="5"/>
      <c r="I14" s="6" t="s">
        <v>14</v>
      </c>
    </row>
    <row r="15" spans="1:9" ht="15.95" customHeight="1" x14ac:dyDescent="0.25">
      <c r="A15" s="20"/>
      <c r="B15" s="11" t="s">
        <v>88</v>
      </c>
      <c r="C15" s="3">
        <v>2</v>
      </c>
      <c r="D15" s="5"/>
      <c r="E15" s="5"/>
      <c r="F15" s="4">
        <v>2</v>
      </c>
      <c r="G15" s="5"/>
      <c r="H15" s="5"/>
      <c r="I15" s="6" t="s">
        <v>14</v>
      </c>
    </row>
    <row r="16" spans="1:9" ht="15.95" customHeight="1" x14ac:dyDescent="0.25">
      <c r="A16" s="20"/>
      <c r="B16" s="11" t="s">
        <v>89</v>
      </c>
      <c r="C16" s="3">
        <v>2</v>
      </c>
      <c r="D16" s="5"/>
      <c r="E16" s="5"/>
      <c r="F16" s="5"/>
      <c r="G16" s="4">
        <v>2</v>
      </c>
      <c r="H16" s="5"/>
      <c r="I16" s="6" t="s">
        <v>14</v>
      </c>
    </row>
    <row r="17" spans="1:9" ht="15.95" customHeight="1" x14ac:dyDescent="0.25">
      <c r="A17" s="21"/>
      <c r="B17" s="11" t="s">
        <v>90</v>
      </c>
      <c r="C17" s="3">
        <v>3</v>
      </c>
      <c r="D17" s="5"/>
      <c r="E17" s="5"/>
      <c r="F17" s="5"/>
      <c r="G17" s="5"/>
      <c r="H17" s="4">
        <v>3</v>
      </c>
      <c r="I17" s="6" t="s">
        <v>14</v>
      </c>
    </row>
    <row r="18" spans="1:9" ht="5.0999999999999996" customHeight="1" x14ac:dyDescent="0.25">
      <c r="A18" s="7"/>
      <c r="B18" s="7"/>
      <c r="C18" s="7"/>
      <c r="D18" s="7"/>
      <c r="E18" s="7"/>
      <c r="F18" s="7"/>
      <c r="G18" s="7"/>
      <c r="H18" s="7"/>
      <c r="I18" s="7"/>
    </row>
    <row r="19" spans="1:9" ht="18" customHeight="1" x14ac:dyDescent="0.25">
      <c r="A19" s="14" t="s">
        <v>91</v>
      </c>
      <c r="B19" s="15"/>
      <c r="C19" s="8">
        <f>SUM(C4:C17)</f>
        <v>44</v>
      </c>
      <c r="D19" s="9"/>
      <c r="E19" s="9"/>
      <c r="F19" s="9"/>
      <c r="G19" s="9"/>
      <c r="H19" s="9"/>
      <c r="I19" s="9"/>
    </row>
  </sheetData>
  <mergeCells count="6">
    <mergeCell ref="A19:B19"/>
    <mergeCell ref="H2:I2"/>
    <mergeCell ref="A11:A17"/>
    <mergeCell ref="A1:I1"/>
    <mergeCell ref="A2:G2"/>
    <mergeCell ref="A4:A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CC1BC-FE27-4BE6-B9E5-AC52E97C080B}">
  <dimension ref="A1:O23"/>
  <sheetViews>
    <sheetView zoomScale="130" zoomScaleNormal="130" workbookViewId="0">
      <selection activeCell="A3" sqref="A3:XFD3"/>
    </sheetView>
  </sheetViews>
  <sheetFormatPr baseColWidth="10" defaultRowHeight="15" x14ac:dyDescent="0.25"/>
  <cols>
    <col min="1" max="1" width="54.7109375" customWidth="1"/>
    <col min="2" max="2" width="53.28515625" customWidth="1"/>
    <col min="3" max="3" width="5.85546875" bestFit="1" customWidth="1"/>
    <col min="4" max="8" width="5" bestFit="1" customWidth="1"/>
  </cols>
  <sheetData>
    <row r="1" spans="1:15" x14ac:dyDescent="0.25">
      <c r="A1" s="16" t="s">
        <v>0</v>
      </c>
      <c r="B1" s="15"/>
      <c r="C1" s="15"/>
      <c r="D1" s="15"/>
      <c r="E1" s="15"/>
      <c r="F1" s="15"/>
      <c r="G1" s="15"/>
      <c r="H1" s="15"/>
      <c r="I1" s="15"/>
    </row>
    <row r="2" spans="1:15" ht="15" customHeight="1" x14ac:dyDescent="0.25">
      <c r="A2" s="23" t="s">
        <v>44</v>
      </c>
      <c r="B2" s="15"/>
      <c r="C2" s="15"/>
      <c r="D2" s="15"/>
      <c r="E2" s="15"/>
      <c r="F2" s="15"/>
      <c r="G2" s="15"/>
      <c r="H2" s="18" t="s">
        <v>2</v>
      </c>
      <c r="I2" s="15"/>
    </row>
    <row r="3" spans="1:15" ht="24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15" x14ac:dyDescent="0.25">
      <c r="A4" s="26" t="s">
        <v>65</v>
      </c>
      <c r="B4" s="2" t="s">
        <v>45</v>
      </c>
      <c r="C4" s="3">
        <v>2</v>
      </c>
      <c r="D4" s="4">
        <v>2</v>
      </c>
      <c r="E4" s="5"/>
      <c r="F4" s="5"/>
      <c r="G4" s="5"/>
      <c r="H4" s="5"/>
      <c r="I4" s="6" t="s">
        <v>14</v>
      </c>
    </row>
    <row r="5" spans="1:15" x14ac:dyDescent="0.25">
      <c r="A5" s="20"/>
      <c r="B5" s="2" t="s">
        <v>46</v>
      </c>
      <c r="C5" s="3">
        <v>4</v>
      </c>
      <c r="D5" s="5"/>
      <c r="E5" s="4">
        <v>2</v>
      </c>
      <c r="F5" s="5"/>
      <c r="G5" s="5"/>
      <c r="H5" s="5"/>
      <c r="I5" s="6" t="s">
        <v>14</v>
      </c>
    </row>
    <row r="6" spans="1:15" x14ac:dyDescent="0.25">
      <c r="A6" s="20"/>
      <c r="B6" s="2" t="s">
        <v>47</v>
      </c>
      <c r="C6" s="3">
        <v>3</v>
      </c>
      <c r="D6" s="5"/>
      <c r="E6" s="4">
        <v>3</v>
      </c>
      <c r="F6" s="5"/>
      <c r="G6" s="5"/>
      <c r="H6" s="5"/>
      <c r="I6" s="6" t="s">
        <v>14</v>
      </c>
      <c r="O6" s="10"/>
    </row>
    <row r="7" spans="1:15" x14ac:dyDescent="0.25">
      <c r="A7" s="20"/>
      <c r="B7" s="2" t="s">
        <v>48</v>
      </c>
      <c r="C7" s="3">
        <v>4</v>
      </c>
      <c r="D7" s="5"/>
      <c r="E7" s="5"/>
      <c r="F7" s="4">
        <v>4</v>
      </c>
      <c r="G7" s="5"/>
      <c r="H7" s="5"/>
      <c r="I7" s="6" t="s">
        <v>14</v>
      </c>
    </row>
    <row r="8" spans="1:15" x14ac:dyDescent="0.25">
      <c r="A8" s="20"/>
      <c r="B8" s="2" t="s">
        <v>49</v>
      </c>
      <c r="C8" s="3">
        <v>4</v>
      </c>
      <c r="D8" s="5"/>
      <c r="E8" s="5"/>
      <c r="F8" s="4">
        <v>4</v>
      </c>
      <c r="G8" s="5"/>
      <c r="H8" s="5"/>
      <c r="I8" s="6" t="s">
        <v>14</v>
      </c>
    </row>
    <row r="9" spans="1:15" ht="21.75" customHeight="1" x14ac:dyDescent="0.25">
      <c r="A9" s="20"/>
      <c r="B9" s="2" t="s">
        <v>50</v>
      </c>
      <c r="C9" s="3">
        <v>2</v>
      </c>
      <c r="D9" s="5"/>
      <c r="E9" s="5"/>
      <c r="F9" s="5"/>
      <c r="G9" s="4">
        <v>2</v>
      </c>
      <c r="H9" s="5"/>
      <c r="I9" s="6" t="s">
        <v>14</v>
      </c>
    </row>
    <row r="10" spans="1:15" ht="15" customHeight="1" x14ac:dyDescent="0.25">
      <c r="A10" s="20"/>
      <c r="B10" s="2" t="s">
        <v>51</v>
      </c>
      <c r="C10" s="3">
        <v>2</v>
      </c>
      <c r="D10" s="5"/>
      <c r="E10" s="5"/>
      <c r="F10" s="5"/>
      <c r="G10" s="4">
        <v>2</v>
      </c>
      <c r="H10" s="5"/>
      <c r="I10" s="6" t="s">
        <v>14</v>
      </c>
    </row>
    <row r="11" spans="1:15" ht="24" customHeight="1" x14ac:dyDescent="0.25">
      <c r="A11" s="21"/>
      <c r="B11" s="2" t="s">
        <v>33</v>
      </c>
      <c r="C11" s="3">
        <v>3</v>
      </c>
      <c r="D11" s="5"/>
      <c r="E11" s="5"/>
      <c r="F11" s="5"/>
      <c r="G11" s="5"/>
      <c r="H11" s="4">
        <v>3</v>
      </c>
      <c r="I11" s="6" t="s">
        <v>14</v>
      </c>
    </row>
    <row r="12" spans="1:15" x14ac:dyDescent="0.25">
      <c r="A12" s="7"/>
      <c r="B12" s="7"/>
      <c r="C12" s="7"/>
      <c r="D12" s="7"/>
      <c r="E12" s="7"/>
      <c r="F12" s="7"/>
      <c r="G12" s="7"/>
      <c r="H12" s="7"/>
      <c r="I12" s="7"/>
    </row>
    <row r="13" spans="1:15" x14ac:dyDescent="0.25">
      <c r="A13" s="26" t="s">
        <v>92</v>
      </c>
      <c r="B13" s="2" t="s">
        <v>52</v>
      </c>
      <c r="C13" s="3">
        <v>2</v>
      </c>
      <c r="D13" s="4">
        <v>2</v>
      </c>
      <c r="E13" s="5"/>
      <c r="F13" s="5"/>
      <c r="G13" s="5"/>
      <c r="H13" s="5"/>
      <c r="I13" s="6" t="s">
        <v>14</v>
      </c>
    </row>
    <row r="14" spans="1:15" x14ac:dyDescent="0.25">
      <c r="A14" s="20"/>
      <c r="B14" s="2" t="s">
        <v>53</v>
      </c>
      <c r="C14" s="3">
        <v>5</v>
      </c>
      <c r="D14" s="4">
        <v>5</v>
      </c>
      <c r="E14" s="5"/>
      <c r="F14" s="5"/>
      <c r="G14" s="5"/>
      <c r="H14" s="5"/>
      <c r="I14" s="6" t="s">
        <v>14</v>
      </c>
    </row>
    <row r="15" spans="1:15" x14ac:dyDescent="0.25">
      <c r="A15" s="20"/>
      <c r="B15" s="2" t="s">
        <v>54</v>
      </c>
      <c r="C15" s="3">
        <v>4</v>
      </c>
      <c r="D15" s="5"/>
      <c r="E15" s="4">
        <v>4</v>
      </c>
      <c r="F15" s="5"/>
      <c r="G15" s="5"/>
      <c r="H15" s="5"/>
      <c r="I15" s="6" t="s">
        <v>14</v>
      </c>
    </row>
    <row r="16" spans="1:15" x14ac:dyDescent="0.25">
      <c r="A16" s="20"/>
      <c r="B16" s="2" t="s">
        <v>55</v>
      </c>
      <c r="C16" s="3">
        <v>4</v>
      </c>
      <c r="D16" s="5"/>
      <c r="E16" s="4">
        <v>4</v>
      </c>
      <c r="F16" s="5"/>
      <c r="G16" s="5"/>
      <c r="H16" s="5"/>
      <c r="I16" s="6" t="s">
        <v>14</v>
      </c>
    </row>
    <row r="17" spans="1:9" x14ac:dyDescent="0.25">
      <c r="A17" s="20"/>
      <c r="B17" s="2" t="s">
        <v>56</v>
      </c>
      <c r="C17" s="3">
        <v>3</v>
      </c>
      <c r="D17" s="5"/>
      <c r="E17" s="5"/>
      <c r="F17" s="4">
        <v>3</v>
      </c>
      <c r="G17" s="5"/>
      <c r="H17" s="5"/>
      <c r="I17" s="6" t="s">
        <v>14</v>
      </c>
    </row>
    <row r="18" spans="1:9" x14ac:dyDescent="0.25">
      <c r="A18" s="20"/>
      <c r="B18" s="2" t="s">
        <v>57</v>
      </c>
      <c r="C18" s="3">
        <v>3</v>
      </c>
      <c r="D18" s="5"/>
      <c r="E18" s="5"/>
      <c r="F18" s="4">
        <v>3</v>
      </c>
      <c r="G18" s="5"/>
      <c r="H18" s="5"/>
      <c r="I18" s="6" t="s">
        <v>14</v>
      </c>
    </row>
    <row r="19" spans="1:9" x14ac:dyDescent="0.25">
      <c r="A19" s="20"/>
      <c r="B19" s="2" t="s">
        <v>58</v>
      </c>
      <c r="C19" s="3">
        <v>2</v>
      </c>
      <c r="D19" s="5"/>
      <c r="E19" s="5"/>
      <c r="F19" s="5"/>
      <c r="G19" s="4">
        <v>2</v>
      </c>
      <c r="H19" s="5"/>
      <c r="I19" s="6" t="s">
        <v>14</v>
      </c>
    </row>
    <row r="20" spans="1:9" x14ac:dyDescent="0.25">
      <c r="A20" s="20"/>
      <c r="B20" s="2" t="s">
        <v>59</v>
      </c>
      <c r="C20" s="3">
        <v>2</v>
      </c>
      <c r="D20" s="5"/>
      <c r="E20" s="5"/>
      <c r="F20" s="5"/>
      <c r="G20" s="4">
        <v>2</v>
      </c>
      <c r="H20" s="5"/>
      <c r="I20" s="6" t="s">
        <v>14</v>
      </c>
    </row>
    <row r="21" spans="1:9" x14ac:dyDescent="0.25">
      <c r="A21" s="21"/>
      <c r="B21" s="2" t="s">
        <v>43</v>
      </c>
      <c r="C21" s="3">
        <v>3</v>
      </c>
      <c r="D21" s="5"/>
      <c r="E21" s="5"/>
      <c r="F21" s="5"/>
      <c r="G21" s="5"/>
      <c r="H21" s="4">
        <v>3</v>
      </c>
      <c r="I21" s="6" t="s">
        <v>14</v>
      </c>
    </row>
    <row r="22" spans="1:9" x14ac:dyDescent="0.25">
      <c r="A22" s="7"/>
      <c r="B22" s="7"/>
      <c r="C22" s="7"/>
      <c r="D22" s="7"/>
      <c r="E22" s="7"/>
      <c r="F22" s="7"/>
      <c r="G22" s="7"/>
      <c r="H22" s="7"/>
      <c r="I22" s="7"/>
    </row>
    <row r="23" spans="1:9" x14ac:dyDescent="0.25">
      <c r="A23" s="14" t="s">
        <v>91</v>
      </c>
      <c r="B23" s="15"/>
      <c r="C23" s="8">
        <f>SUM(C4:C21)</f>
        <v>52</v>
      </c>
      <c r="D23" s="9"/>
      <c r="E23" s="9"/>
      <c r="F23" s="9"/>
      <c r="G23" s="9"/>
      <c r="H23" s="9"/>
      <c r="I23" s="9"/>
    </row>
  </sheetData>
  <mergeCells count="6">
    <mergeCell ref="A13:A21"/>
    <mergeCell ref="A23:B23"/>
    <mergeCell ref="H2:I2"/>
    <mergeCell ref="A1:I1"/>
    <mergeCell ref="A2:G2"/>
    <mergeCell ref="A4:A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2867-D295-4F72-85A3-ADE909F1E2A0}">
  <dimension ref="A1:I22"/>
  <sheetViews>
    <sheetView zoomScale="115" zoomScaleNormal="115" workbookViewId="0">
      <selection activeCell="A3" sqref="A3:XFD3"/>
    </sheetView>
  </sheetViews>
  <sheetFormatPr baseColWidth="10" defaultRowHeight="15" x14ac:dyDescent="0.25"/>
  <cols>
    <col min="1" max="1" width="44.28515625" bestFit="1" customWidth="1"/>
    <col min="2" max="2" width="42.42578125" bestFit="1" customWidth="1"/>
  </cols>
  <sheetData>
    <row r="1" spans="1:9" x14ac:dyDescent="0.25">
      <c r="A1" s="16" t="s">
        <v>0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23" t="s">
        <v>93</v>
      </c>
      <c r="B2" s="15"/>
      <c r="C2" s="15"/>
      <c r="D2" s="15"/>
      <c r="E2" s="15"/>
      <c r="F2" s="15"/>
      <c r="G2" s="15"/>
      <c r="H2" s="18" t="s">
        <v>2</v>
      </c>
      <c r="I2" s="15"/>
    </row>
    <row r="3" spans="1:9" ht="24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1" customHeight="1" x14ac:dyDescent="0.25">
      <c r="A4" s="26" t="s">
        <v>94</v>
      </c>
      <c r="B4" s="2" t="s">
        <v>96</v>
      </c>
      <c r="C4" s="3">
        <v>2</v>
      </c>
      <c r="D4" s="4">
        <v>2</v>
      </c>
      <c r="E4" s="5"/>
      <c r="F4" s="5"/>
      <c r="G4" s="5"/>
      <c r="H4" s="5"/>
      <c r="I4" s="6" t="s">
        <v>14</v>
      </c>
    </row>
    <row r="5" spans="1:9" ht="17.25" customHeight="1" x14ac:dyDescent="0.25">
      <c r="A5" s="20"/>
      <c r="B5" s="2" t="s">
        <v>97</v>
      </c>
      <c r="C5" s="3">
        <v>4</v>
      </c>
      <c r="D5" s="5"/>
      <c r="E5" s="4">
        <v>2</v>
      </c>
      <c r="F5" s="5"/>
      <c r="G5" s="5"/>
      <c r="H5" s="5"/>
      <c r="I5" s="6" t="s">
        <v>14</v>
      </c>
    </row>
    <row r="6" spans="1:9" ht="17.25" customHeight="1" x14ac:dyDescent="0.25">
      <c r="A6" s="20"/>
      <c r="B6" s="2" t="s">
        <v>98</v>
      </c>
      <c r="C6" s="3">
        <v>3</v>
      </c>
      <c r="D6" s="5"/>
      <c r="E6" s="4">
        <v>3</v>
      </c>
      <c r="F6" s="5"/>
      <c r="G6" s="5"/>
      <c r="H6" s="5"/>
      <c r="I6" s="6" t="s">
        <v>14</v>
      </c>
    </row>
    <row r="7" spans="1:9" ht="18.75" customHeight="1" x14ac:dyDescent="0.25">
      <c r="A7" s="20"/>
      <c r="B7" s="2" t="s">
        <v>99</v>
      </c>
      <c r="C7" s="3">
        <v>4</v>
      </c>
      <c r="D7" s="5"/>
      <c r="E7" s="5"/>
      <c r="F7" s="4">
        <v>4</v>
      </c>
      <c r="G7" s="5"/>
      <c r="H7" s="5"/>
      <c r="I7" s="6" t="s">
        <v>14</v>
      </c>
    </row>
    <row r="8" spans="1:9" ht="18.75" customHeight="1" x14ac:dyDescent="0.25">
      <c r="A8" s="20"/>
      <c r="B8" s="2" t="s">
        <v>100</v>
      </c>
      <c r="C8" s="3">
        <v>4</v>
      </c>
      <c r="D8" s="5"/>
      <c r="E8" s="5"/>
      <c r="F8" s="4">
        <v>4</v>
      </c>
      <c r="G8" s="5"/>
      <c r="H8" s="5"/>
      <c r="I8" s="6" t="s">
        <v>14</v>
      </c>
    </row>
    <row r="9" spans="1:9" ht="24" x14ac:dyDescent="0.25">
      <c r="A9" s="20"/>
      <c r="B9" s="2" t="s">
        <v>101</v>
      </c>
      <c r="C9" s="3">
        <v>2</v>
      </c>
      <c r="D9" s="5"/>
      <c r="E9" s="5"/>
      <c r="F9" s="5"/>
      <c r="G9" s="4">
        <v>2</v>
      </c>
      <c r="H9" s="5"/>
      <c r="I9" s="6" t="s">
        <v>14</v>
      </c>
    </row>
    <row r="10" spans="1:9" ht="28.5" customHeight="1" x14ac:dyDescent="0.25">
      <c r="A10" s="20"/>
      <c r="B10" s="2" t="s">
        <v>102</v>
      </c>
      <c r="C10" s="3">
        <v>2</v>
      </c>
      <c r="D10" s="5"/>
      <c r="E10" s="5"/>
      <c r="F10" s="5"/>
      <c r="G10" s="4">
        <v>2</v>
      </c>
      <c r="H10" s="5"/>
      <c r="I10" s="6" t="s">
        <v>14</v>
      </c>
    </row>
    <row r="11" spans="1:9" x14ac:dyDescent="0.25">
      <c r="A11" s="21"/>
      <c r="B11" s="2" t="s">
        <v>33</v>
      </c>
      <c r="C11" s="3">
        <v>3</v>
      </c>
      <c r="D11" s="5"/>
      <c r="E11" s="5"/>
      <c r="F11" s="5"/>
      <c r="G11" s="5"/>
      <c r="H11" s="4">
        <v>3</v>
      </c>
      <c r="I11" s="6" t="s">
        <v>14</v>
      </c>
    </row>
    <row r="12" spans="1:9" x14ac:dyDescent="0.25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25">
      <c r="A13" s="26" t="s">
        <v>95</v>
      </c>
      <c r="B13" s="2" t="s">
        <v>103</v>
      </c>
      <c r="C13" s="3">
        <v>2</v>
      </c>
      <c r="D13" s="4">
        <v>2</v>
      </c>
      <c r="E13" s="5"/>
      <c r="F13" s="5"/>
      <c r="G13" s="5"/>
      <c r="H13" s="5"/>
      <c r="I13" s="6" t="s">
        <v>14</v>
      </c>
    </row>
    <row r="14" spans="1:9" x14ac:dyDescent="0.25">
      <c r="A14" s="20"/>
      <c r="B14" s="2" t="s">
        <v>104</v>
      </c>
      <c r="C14" s="3">
        <v>5</v>
      </c>
      <c r="D14" s="4">
        <v>5</v>
      </c>
      <c r="E14" s="5"/>
      <c r="F14" s="5"/>
      <c r="G14" s="5"/>
      <c r="H14" s="5"/>
      <c r="I14" s="6" t="s">
        <v>14</v>
      </c>
    </row>
    <row r="15" spans="1:9" x14ac:dyDescent="0.25">
      <c r="A15" s="20"/>
      <c r="B15" s="2" t="s">
        <v>105</v>
      </c>
      <c r="C15" s="3">
        <v>4</v>
      </c>
      <c r="D15" s="5"/>
      <c r="E15" s="4">
        <v>4</v>
      </c>
      <c r="F15" s="5"/>
      <c r="G15" s="5"/>
      <c r="H15" s="5"/>
      <c r="I15" s="6" t="s">
        <v>14</v>
      </c>
    </row>
    <row r="16" spans="1:9" x14ac:dyDescent="0.25">
      <c r="A16" s="20"/>
      <c r="B16" s="2" t="s">
        <v>106</v>
      </c>
      <c r="C16" s="3">
        <v>4</v>
      </c>
      <c r="D16" s="5"/>
      <c r="E16" s="4">
        <v>4</v>
      </c>
      <c r="F16" s="5"/>
      <c r="G16" s="5"/>
      <c r="H16" s="5"/>
      <c r="I16" s="6" t="s">
        <v>14</v>
      </c>
    </row>
    <row r="17" spans="1:9" x14ac:dyDescent="0.25">
      <c r="A17" s="20"/>
      <c r="B17" s="2" t="s">
        <v>107</v>
      </c>
      <c r="C17" s="3">
        <v>3</v>
      </c>
      <c r="D17" s="5"/>
      <c r="E17" s="5"/>
      <c r="F17" s="4">
        <v>3</v>
      </c>
      <c r="G17" s="5"/>
      <c r="H17" s="5"/>
      <c r="I17" s="6" t="s">
        <v>14</v>
      </c>
    </row>
    <row r="18" spans="1:9" ht="24" x14ac:dyDescent="0.25">
      <c r="A18" s="20"/>
      <c r="B18" s="2" t="s">
        <v>108</v>
      </c>
      <c r="C18" s="3">
        <v>3</v>
      </c>
      <c r="D18" s="5"/>
      <c r="E18" s="5"/>
      <c r="F18" s="4">
        <v>3</v>
      </c>
      <c r="G18" s="5"/>
      <c r="H18" s="5"/>
      <c r="I18" s="6" t="s">
        <v>14</v>
      </c>
    </row>
    <row r="19" spans="1:9" x14ac:dyDescent="0.25">
      <c r="A19" s="20"/>
      <c r="B19" s="2" t="s">
        <v>109</v>
      </c>
      <c r="C19" s="3">
        <v>2</v>
      </c>
      <c r="D19" s="5"/>
      <c r="E19" s="5"/>
      <c r="F19" s="5"/>
      <c r="G19" s="4">
        <v>2</v>
      </c>
      <c r="H19" s="5"/>
      <c r="I19" s="6" t="s">
        <v>14</v>
      </c>
    </row>
    <row r="20" spans="1:9" ht="24" x14ac:dyDescent="0.25">
      <c r="A20" s="20"/>
      <c r="B20" s="2" t="s">
        <v>110</v>
      </c>
      <c r="C20" s="3">
        <v>2</v>
      </c>
      <c r="D20" s="5"/>
      <c r="E20" s="5"/>
      <c r="F20" s="5"/>
      <c r="G20" s="4">
        <v>2</v>
      </c>
      <c r="H20" s="5"/>
      <c r="I20" s="6" t="s">
        <v>14</v>
      </c>
    </row>
    <row r="21" spans="1:9" x14ac:dyDescent="0.25">
      <c r="A21" s="21"/>
      <c r="B21" s="2" t="s">
        <v>111</v>
      </c>
      <c r="C21" s="3">
        <v>3</v>
      </c>
      <c r="D21" s="5"/>
      <c r="E21" s="5"/>
      <c r="F21" s="5"/>
      <c r="G21" s="5"/>
      <c r="H21" s="4">
        <v>3</v>
      </c>
      <c r="I21" s="6" t="s">
        <v>14</v>
      </c>
    </row>
    <row r="22" spans="1:9" x14ac:dyDescent="0.25">
      <c r="A22" s="14" t="s">
        <v>91</v>
      </c>
      <c r="B22" s="15"/>
      <c r="C22" s="8">
        <f>SUM(C3:C20)</f>
        <v>49</v>
      </c>
      <c r="D22" s="9"/>
      <c r="E22" s="9"/>
      <c r="F22" s="9"/>
      <c r="G22" s="9"/>
      <c r="H22" s="9"/>
      <c r="I22" s="9"/>
    </row>
  </sheetData>
  <mergeCells count="6">
    <mergeCell ref="A22:B22"/>
    <mergeCell ref="A1:I1"/>
    <mergeCell ref="A2:G2"/>
    <mergeCell ref="H2:I2"/>
    <mergeCell ref="A4:A11"/>
    <mergeCell ref="A13:A2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37FAB-BFA4-43B6-B269-BF488BF641ED}">
  <dimension ref="A1:I22"/>
  <sheetViews>
    <sheetView topLeftCell="A3" zoomScale="115" zoomScaleNormal="115" workbookViewId="0">
      <selection activeCell="A3" sqref="A3:XFD3"/>
    </sheetView>
  </sheetViews>
  <sheetFormatPr baseColWidth="10" defaultRowHeight="15" x14ac:dyDescent="0.25"/>
  <cols>
    <col min="1" max="1" width="44.28515625" bestFit="1" customWidth="1"/>
    <col min="2" max="2" width="42.42578125" bestFit="1" customWidth="1"/>
  </cols>
  <sheetData>
    <row r="1" spans="1:9" x14ac:dyDescent="0.25">
      <c r="A1" s="16" t="s">
        <v>0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17" t="s">
        <v>113</v>
      </c>
      <c r="B2" s="15"/>
      <c r="C2" s="15"/>
      <c r="D2" s="15"/>
      <c r="E2" s="15"/>
      <c r="F2" s="15"/>
      <c r="G2" s="15"/>
      <c r="H2" s="18" t="s">
        <v>2</v>
      </c>
      <c r="I2" s="15"/>
    </row>
    <row r="3" spans="1:9" ht="24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1" customHeight="1" x14ac:dyDescent="0.25">
      <c r="A4" s="19" t="s">
        <v>112</v>
      </c>
      <c r="B4" s="2" t="s">
        <v>96</v>
      </c>
      <c r="C4" s="3">
        <v>2</v>
      </c>
      <c r="D4" s="4">
        <v>2</v>
      </c>
      <c r="E4" s="5"/>
      <c r="F4" s="5"/>
      <c r="G4" s="5"/>
      <c r="H4" s="5"/>
      <c r="I4" s="6" t="s">
        <v>14</v>
      </c>
    </row>
    <row r="5" spans="1:9" ht="17.25" customHeight="1" x14ac:dyDescent="0.25">
      <c r="A5" s="20"/>
      <c r="B5" s="2" t="s">
        <v>97</v>
      </c>
      <c r="C5" s="3">
        <v>4</v>
      </c>
      <c r="D5" s="5"/>
      <c r="E5" s="4">
        <v>2</v>
      </c>
      <c r="F5" s="5"/>
      <c r="G5" s="5"/>
      <c r="H5" s="5"/>
      <c r="I5" s="6" t="s">
        <v>14</v>
      </c>
    </row>
    <row r="6" spans="1:9" ht="17.25" customHeight="1" x14ac:dyDescent="0.25">
      <c r="A6" s="20"/>
      <c r="B6" s="2" t="s">
        <v>98</v>
      </c>
      <c r="C6" s="3">
        <v>3</v>
      </c>
      <c r="D6" s="5"/>
      <c r="E6" s="4">
        <v>3</v>
      </c>
      <c r="F6" s="5"/>
      <c r="G6" s="5"/>
      <c r="H6" s="5"/>
      <c r="I6" s="6" t="s">
        <v>14</v>
      </c>
    </row>
    <row r="7" spans="1:9" ht="18.75" customHeight="1" x14ac:dyDescent="0.25">
      <c r="A7" s="20"/>
      <c r="B7" s="2" t="s">
        <v>99</v>
      </c>
      <c r="C7" s="3">
        <v>4</v>
      </c>
      <c r="D7" s="5"/>
      <c r="E7" s="5"/>
      <c r="F7" s="4">
        <v>4</v>
      </c>
      <c r="G7" s="5"/>
      <c r="H7" s="5"/>
      <c r="I7" s="6" t="s">
        <v>14</v>
      </c>
    </row>
    <row r="8" spans="1:9" ht="18.75" customHeight="1" x14ac:dyDescent="0.25">
      <c r="A8" s="20"/>
      <c r="B8" s="2" t="s">
        <v>100</v>
      </c>
      <c r="C8" s="3">
        <v>4</v>
      </c>
      <c r="D8" s="5"/>
      <c r="E8" s="5"/>
      <c r="F8" s="4">
        <v>4</v>
      </c>
      <c r="G8" s="5"/>
      <c r="H8" s="5"/>
      <c r="I8" s="6" t="s">
        <v>14</v>
      </c>
    </row>
    <row r="9" spans="1:9" ht="24" x14ac:dyDescent="0.25">
      <c r="A9" s="20"/>
      <c r="B9" s="2" t="s">
        <v>101</v>
      </c>
      <c r="C9" s="3">
        <v>2</v>
      </c>
      <c r="D9" s="5"/>
      <c r="E9" s="5"/>
      <c r="F9" s="5"/>
      <c r="G9" s="4">
        <v>2</v>
      </c>
      <c r="H9" s="5"/>
      <c r="I9" s="6" t="s">
        <v>14</v>
      </c>
    </row>
    <row r="10" spans="1:9" ht="28.5" customHeight="1" x14ac:dyDescent="0.25">
      <c r="A10" s="20"/>
      <c r="B10" s="2" t="s">
        <v>102</v>
      </c>
      <c r="C10" s="3">
        <v>2</v>
      </c>
      <c r="D10" s="5"/>
      <c r="E10" s="5"/>
      <c r="F10" s="5"/>
      <c r="G10" s="4">
        <v>2</v>
      </c>
      <c r="H10" s="5"/>
      <c r="I10" s="6" t="s">
        <v>14</v>
      </c>
    </row>
    <row r="11" spans="1:9" x14ac:dyDescent="0.25">
      <c r="A11" s="21"/>
      <c r="B11" s="2" t="s">
        <v>33</v>
      </c>
      <c r="C11" s="3">
        <v>3</v>
      </c>
      <c r="D11" s="5"/>
      <c r="E11" s="5"/>
      <c r="F11" s="5"/>
      <c r="G11" s="5"/>
      <c r="H11" s="4">
        <v>3</v>
      </c>
      <c r="I11" s="6" t="s">
        <v>14</v>
      </c>
    </row>
    <row r="12" spans="1:9" x14ac:dyDescent="0.25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25">
      <c r="A13" s="19" t="s">
        <v>115</v>
      </c>
      <c r="B13" s="11" t="s">
        <v>114</v>
      </c>
      <c r="C13" s="3">
        <v>2</v>
      </c>
      <c r="D13" s="4">
        <v>2</v>
      </c>
      <c r="E13" s="5"/>
      <c r="F13" s="5"/>
      <c r="G13" s="5"/>
      <c r="H13" s="5"/>
      <c r="I13" s="6" t="s">
        <v>14</v>
      </c>
    </row>
    <row r="14" spans="1:9" x14ac:dyDescent="0.25">
      <c r="A14" s="20"/>
      <c r="B14" s="11" t="s">
        <v>104</v>
      </c>
      <c r="C14" s="3">
        <v>5</v>
      </c>
      <c r="D14" s="4">
        <v>5</v>
      </c>
      <c r="E14" s="5"/>
      <c r="F14" s="5"/>
      <c r="G14" s="5"/>
      <c r="H14" s="5"/>
      <c r="I14" s="6" t="s">
        <v>14</v>
      </c>
    </row>
    <row r="15" spans="1:9" x14ac:dyDescent="0.25">
      <c r="A15" s="20"/>
      <c r="B15" s="2" t="s">
        <v>105</v>
      </c>
      <c r="C15" s="3">
        <v>4</v>
      </c>
      <c r="D15" s="5"/>
      <c r="E15" s="4">
        <v>4</v>
      </c>
      <c r="F15" s="5"/>
      <c r="G15" s="5"/>
      <c r="H15" s="5"/>
      <c r="I15" s="6" t="s">
        <v>14</v>
      </c>
    </row>
    <row r="16" spans="1:9" x14ac:dyDescent="0.25">
      <c r="A16" s="20"/>
      <c r="B16" s="2" t="s">
        <v>106</v>
      </c>
      <c r="C16" s="3">
        <v>4</v>
      </c>
      <c r="D16" s="5"/>
      <c r="E16" s="4">
        <v>4</v>
      </c>
      <c r="F16" s="5"/>
      <c r="G16" s="5"/>
      <c r="H16" s="5"/>
      <c r="I16" s="6" t="s">
        <v>14</v>
      </c>
    </row>
    <row r="17" spans="1:9" x14ac:dyDescent="0.25">
      <c r="A17" s="20"/>
      <c r="B17" s="2" t="s">
        <v>107</v>
      </c>
      <c r="C17" s="3">
        <v>3</v>
      </c>
      <c r="D17" s="5"/>
      <c r="E17" s="5"/>
      <c r="F17" s="4">
        <v>3</v>
      </c>
      <c r="G17" s="5"/>
      <c r="H17" s="5"/>
      <c r="I17" s="6" t="s">
        <v>14</v>
      </c>
    </row>
    <row r="18" spans="1:9" ht="24" x14ac:dyDescent="0.25">
      <c r="A18" s="20"/>
      <c r="B18" s="2" t="s">
        <v>108</v>
      </c>
      <c r="C18" s="3">
        <v>3</v>
      </c>
      <c r="D18" s="5"/>
      <c r="E18" s="5"/>
      <c r="F18" s="4">
        <v>3</v>
      </c>
      <c r="G18" s="5"/>
      <c r="H18" s="5"/>
      <c r="I18" s="6" t="s">
        <v>14</v>
      </c>
    </row>
    <row r="19" spans="1:9" x14ac:dyDescent="0.25">
      <c r="A19" s="20"/>
      <c r="B19" s="2" t="s">
        <v>109</v>
      </c>
      <c r="C19" s="3">
        <v>2</v>
      </c>
      <c r="D19" s="5"/>
      <c r="E19" s="5"/>
      <c r="F19" s="5"/>
      <c r="G19" s="4">
        <v>2</v>
      </c>
      <c r="H19" s="5"/>
      <c r="I19" s="6" t="s">
        <v>14</v>
      </c>
    </row>
    <row r="20" spans="1:9" ht="24" x14ac:dyDescent="0.25">
      <c r="A20" s="20"/>
      <c r="B20" s="2" t="s">
        <v>110</v>
      </c>
      <c r="C20" s="3">
        <v>2</v>
      </c>
      <c r="D20" s="5"/>
      <c r="E20" s="5"/>
      <c r="F20" s="5"/>
      <c r="G20" s="4">
        <v>2</v>
      </c>
      <c r="H20" s="5"/>
      <c r="I20" s="6" t="s">
        <v>14</v>
      </c>
    </row>
    <row r="21" spans="1:9" x14ac:dyDescent="0.25">
      <c r="A21" s="21"/>
      <c r="B21" s="2" t="s">
        <v>111</v>
      </c>
      <c r="C21" s="3">
        <v>3</v>
      </c>
      <c r="D21" s="5"/>
      <c r="E21" s="5"/>
      <c r="F21" s="5"/>
      <c r="G21" s="5"/>
      <c r="H21" s="4">
        <v>3</v>
      </c>
      <c r="I21" s="6" t="s">
        <v>14</v>
      </c>
    </row>
    <row r="22" spans="1:9" x14ac:dyDescent="0.25">
      <c r="A22" s="14" t="s">
        <v>91</v>
      </c>
      <c r="B22" s="15"/>
      <c r="C22" s="8">
        <f>SUM(C3:C20)</f>
        <v>49</v>
      </c>
      <c r="D22" s="9"/>
      <c r="E22" s="9"/>
      <c r="F22" s="9"/>
      <c r="G22" s="9"/>
      <c r="H22" s="9"/>
      <c r="I22" s="9"/>
    </row>
  </sheetData>
  <mergeCells count="6">
    <mergeCell ref="A22:B22"/>
    <mergeCell ref="A1:I1"/>
    <mergeCell ref="A2:G2"/>
    <mergeCell ref="H2:I2"/>
    <mergeCell ref="A4:A11"/>
    <mergeCell ref="A13:A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D1426-2E78-4386-B141-81B23960AEA4}">
  <dimension ref="A1:I22"/>
  <sheetViews>
    <sheetView tabSelected="1" zoomScale="115" zoomScaleNormal="115" workbookViewId="0">
      <selection activeCell="B25" sqref="B25"/>
    </sheetView>
  </sheetViews>
  <sheetFormatPr baseColWidth="10" defaultRowHeight="15" x14ac:dyDescent="0.25"/>
  <cols>
    <col min="1" max="1" width="44.28515625" bestFit="1" customWidth="1"/>
    <col min="2" max="2" width="42.42578125" bestFit="1" customWidth="1"/>
  </cols>
  <sheetData>
    <row r="1" spans="1:9" x14ac:dyDescent="0.25">
      <c r="A1" s="16" t="s">
        <v>0</v>
      </c>
      <c r="B1" s="15"/>
      <c r="C1" s="15"/>
      <c r="D1" s="15"/>
      <c r="E1" s="15"/>
      <c r="F1" s="15"/>
      <c r="G1" s="15"/>
      <c r="H1" s="15"/>
      <c r="I1" s="15"/>
    </row>
    <row r="2" spans="1:9" x14ac:dyDescent="0.25">
      <c r="A2" s="17" t="s">
        <v>116</v>
      </c>
      <c r="B2" s="15"/>
      <c r="C2" s="15"/>
      <c r="D2" s="15"/>
      <c r="E2" s="15"/>
      <c r="F2" s="15"/>
      <c r="G2" s="15"/>
      <c r="H2" s="18" t="s">
        <v>2</v>
      </c>
      <c r="I2" s="15"/>
    </row>
    <row r="3" spans="1:9" ht="24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 ht="21" customHeight="1" x14ac:dyDescent="0.25">
      <c r="A4" s="19" t="s">
        <v>117</v>
      </c>
      <c r="B4" s="11" t="s">
        <v>119</v>
      </c>
      <c r="C4" s="3">
        <v>2</v>
      </c>
      <c r="D4" s="4">
        <v>2</v>
      </c>
      <c r="E4" s="5"/>
      <c r="F4" s="5"/>
      <c r="G4" s="5"/>
      <c r="H4" s="5"/>
      <c r="I4" s="6" t="s">
        <v>14</v>
      </c>
    </row>
    <row r="5" spans="1:9" ht="17.25" customHeight="1" x14ac:dyDescent="0.25">
      <c r="A5" s="20"/>
      <c r="B5" s="11" t="s">
        <v>120</v>
      </c>
      <c r="C5" s="3">
        <v>4</v>
      </c>
      <c r="D5" s="5"/>
      <c r="E5" s="4">
        <v>2</v>
      </c>
      <c r="F5" s="5"/>
      <c r="G5" s="5"/>
      <c r="H5" s="5"/>
      <c r="I5" s="6" t="s">
        <v>14</v>
      </c>
    </row>
    <row r="6" spans="1:9" ht="17.25" customHeight="1" x14ac:dyDescent="0.25">
      <c r="A6" s="20"/>
      <c r="B6" s="11" t="s">
        <v>121</v>
      </c>
      <c r="C6" s="3">
        <v>3</v>
      </c>
      <c r="D6" s="5"/>
      <c r="E6" s="4">
        <v>3</v>
      </c>
      <c r="F6" s="5"/>
      <c r="G6" s="5"/>
      <c r="H6" s="5"/>
      <c r="I6" s="6" t="s">
        <v>14</v>
      </c>
    </row>
    <row r="7" spans="1:9" ht="18.75" customHeight="1" x14ac:dyDescent="0.25">
      <c r="A7" s="20"/>
      <c r="B7" s="11" t="s">
        <v>122</v>
      </c>
      <c r="C7" s="3">
        <v>4</v>
      </c>
      <c r="D7" s="5"/>
      <c r="E7" s="5"/>
      <c r="F7" s="4">
        <v>4</v>
      </c>
      <c r="G7" s="5"/>
      <c r="H7" s="5"/>
      <c r="I7" s="6" t="s">
        <v>14</v>
      </c>
    </row>
    <row r="8" spans="1:9" ht="18.75" customHeight="1" x14ac:dyDescent="0.25">
      <c r="A8" s="20"/>
      <c r="B8" s="11" t="s">
        <v>123</v>
      </c>
      <c r="C8" s="3">
        <v>4</v>
      </c>
      <c r="D8" s="5"/>
      <c r="E8" s="5"/>
      <c r="F8" s="4">
        <v>4</v>
      </c>
      <c r="G8" s="5"/>
      <c r="H8" s="5"/>
      <c r="I8" s="6" t="s">
        <v>14</v>
      </c>
    </row>
    <row r="9" spans="1:9" x14ac:dyDescent="0.25">
      <c r="A9" s="20"/>
      <c r="B9" s="11" t="s">
        <v>124</v>
      </c>
      <c r="C9" s="3">
        <v>2</v>
      </c>
      <c r="D9" s="5"/>
      <c r="E9" s="5"/>
      <c r="F9" s="5"/>
      <c r="G9" s="4">
        <v>2</v>
      </c>
      <c r="H9" s="5"/>
      <c r="I9" s="6" t="s">
        <v>14</v>
      </c>
    </row>
    <row r="10" spans="1:9" ht="28.5" customHeight="1" x14ac:dyDescent="0.25">
      <c r="A10" s="20"/>
      <c r="B10" s="11" t="s">
        <v>125</v>
      </c>
      <c r="C10" s="3">
        <v>2</v>
      </c>
      <c r="D10" s="5"/>
      <c r="E10" s="5"/>
      <c r="F10" s="5"/>
      <c r="G10" s="4">
        <v>2</v>
      </c>
      <c r="H10" s="5"/>
      <c r="I10" s="6" t="s">
        <v>14</v>
      </c>
    </row>
    <row r="11" spans="1:9" x14ac:dyDescent="0.25">
      <c r="A11" s="21"/>
      <c r="B11" s="2" t="s">
        <v>33</v>
      </c>
      <c r="C11" s="3">
        <v>3</v>
      </c>
      <c r="D11" s="5"/>
      <c r="E11" s="5"/>
      <c r="F11" s="5"/>
      <c r="G11" s="5"/>
      <c r="H11" s="4">
        <v>3</v>
      </c>
      <c r="I11" s="6" t="s">
        <v>14</v>
      </c>
    </row>
    <row r="12" spans="1:9" x14ac:dyDescent="0.25">
      <c r="A12" s="7"/>
      <c r="B12" s="7"/>
      <c r="C12" s="7"/>
      <c r="D12" s="7"/>
      <c r="E12" s="7"/>
      <c r="F12" s="7"/>
      <c r="G12" s="7"/>
      <c r="H12" s="7"/>
      <c r="I12" s="7"/>
    </row>
    <row r="13" spans="1:9" x14ac:dyDescent="0.25">
      <c r="A13" s="19" t="s">
        <v>118</v>
      </c>
      <c r="B13" s="11" t="s">
        <v>126</v>
      </c>
      <c r="C13" s="3">
        <v>2</v>
      </c>
      <c r="D13" s="4">
        <v>2</v>
      </c>
      <c r="E13" s="5"/>
      <c r="F13" s="5"/>
      <c r="G13" s="5"/>
      <c r="H13" s="5"/>
      <c r="I13" s="6" t="s">
        <v>14</v>
      </c>
    </row>
    <row r="14" spans="1:9" x14ac:dyDescent="0.25">
      <c r="A14" s="20"/>
      <c r="B14" s="11" t="s">
        <v>127</v>
      </c>
      <c r="C14" s="3">
        <v>5</v>
      </c>
      <c r="D14" s="4">
        <v>5</v>
      </c>
      <c r="E14" s="5"/>
      <c r="F14" s="5"/>
      <c r="G14" s="5"/>
      <c r="H14" s="5"/>
      <c r="I14" s="6" t="s">
        <v>14</v>
      </c>
    </row>
    <row r="15" spans="1:9" x14ac:dyDescent="0.25">
      <c r="A15" s="20"/>
      <c r="B15" s="11" t="s">
        <v>128</v>
      </c>
      <c r="C15" s="3">
        <v>4</v>
      </c>
      <c r="D15" s="5"/>
      <c r="E15" s="4">
        <v>4</v>
      </c>
      <c r="F15" s="5"/>
      <c r="G15" s="5"/>
      <c r="H15" s="5"/>
      <c r="I15" s="6" t="s">
        <v>14</v>
      </c>
    </row>
    <row r="16" spans="1:9" x14ac:dyDescent="0.25">
      <c r="A16" s="20"/>
      <c r="B16" s="11" t="s">
        <v>129</v>
      </c>
      <c r="C16" s="3">
        <v>4</v>
      </c>
      <c r="D16" s="5"/>
      <c r="E16" s="4">
        <v>4</v>
      </c>
      <c r="F16" s="5"/>
      <c r="G16" s="5"/>
      <c r="H16" s="5"/>
      <c r="I16" s="6" t="s">
        <v>14</v>
      </c>
    </row>
    <row r="17" spans="1:9" x14ac:dyDescent="0.25">
      <c r="A17" s="20"/>
      <c r="B17" s="11" t="s">
        <v>130</v>
      </c>
      <c r="C17" s="3">
        <v>3</v>
      </c>
      <c r="D17" s="5"/>
      <c r="E17" s="5"/>
      <c r="F17" s="4">
        <v>3</v>
      </c>
      <c r="G17" s="5"/>
      <c r="H17" s="5"/>
      <c r="I17" s="6" t="s">
        <v>14</v>
      </c>
    </row>
    <row r="18" spans="1:9" x14ac:dyDescent="0.25">
      <c r="A18" s="20"/>
      <c r="B18" s="11" t="s">
        <v>131</v>
      </c>
      <c r="C18" s="3">
        <v>3</v>
      </c>
      <c r="D18" s="5"/>
      <c r="E18" s="5"/>
      <c r="F18" s="4">
        <v>3</v>
      </c>
      <c r="G18" s="5"/>
      <c r="H18" s="5"/>
      <c r="I18" s="6" t="s">
        <v>14</v>
      </c>
    </row>
    <row r="19" spans="1:9" x14ac:dyDescent="0.25">
      <c r="A19" s="20"/>
      <c r="B19" s="11" t="s">
        <v>132</v>
      </c>
      <c r="C19" s="3">
        <v>2</v>
      </c>
      <c r="D19" s="5"/>
      <c r="E19" s="5"/>
      <c r="F19" s="5"/>
      <c r="G19" s="4">
        <v>2</v>
      </c>
      <c r="H19" s="5"/>
      <c r="I19" s="6" t="s">
        <v>14</v>
      </c>
    </row>
    <row r="20" spans="1:9" x14ac:dyDescent="0.25">
      <c r="A20" s="20"/>
      <c r="B20" s="11" t="s">
        <v>133</v>
      </c>
      <c r="C20" s="3">
        <v>2</v>
      </c>
      <c r="D20" s="5"/>
      <c r="E20" s="5"/>
      <c r="F20" s="5"/>
      <c r="G20" s="4">
        <v>2</v>
      </c>
      <c r="H20" s="5"/>
      <c r="I20" s="6" t="s">
        <v>14</v>
      </c>
    </row>
    <row r="21" spans="1:9" x14ac:dyDescent="0.25">
      <c r="A21" s="21"/>
      <c r="B21" s="11" t="s">
        <v>134</v>
      </c>
      <c r="C21" s="3">
        <v>3</v>
      </c>
      <c r="D21" s="5"/>
      <c r="E21" s="5"/>
      <c r="F21" s="5"/>
      <c r="G21" s="5"/>
      <c r="H21" s="4">
        <v>3</v>
      </c>
      <c r="I21" s="6" t="s">
        <v>14</v>
      </c>
    </row>
    <row r="22" spans="1:9" x14ac:dyDescent="0.25">
      <c r="A22" s="14" t="s">
        <v>91</v>
      </c>
      <c r="B22" s="15"/>
      <c r="C22" s="8">
        <f>SUM(C3:C20)</f>
        <v>49</v>
      </c>
      <c r="D22" s="9"/>
      <c r="E22" s="9"/>
      <c r="F22" s="9"/>
      <c r="G22" s="9"/>
      <c r="H22" s="9"/>
      <c r="I22" s="9"/>
    </row>
  </sheetData>
  <mergeCells count="6">
    <mergeCell ref="A22:B22"/>
    <mergeCell ref="A1:I1"/>
    <mergeCell ref="A2:G2"/>
    <mergeCell ref="H2:I2"/>
    <mergeCell ref="A4:A11"/>
    <mergeCell ref="A13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Sprint 1</vt:lpstr>
      <vt:lpstr>Sprint 2</vt:lpstr>
      <vt:lpstr>Sprint 3</vt:lpstr>
      <vt:lpstr>Sprint 4</vt:lpstr>
      <vt:lpstr>Sprint 5</vt:lpstr>
      <vt:lpstr>Sprint 6</vt:lpstr>
      <vt:lpstr>Sprint 7</vt:lpstr>
      <vt:lpstr>Sprint 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Santiago Chacon Herrera</cp:lastModifiedBy>
  <dcterms:created xsi:type="dcterms:W3CDTF">2026-03-02T02:39:50Z</dcterms:created>
  <dcterms:modified xsi:type="dcterms:W3CDTF">2026-05-14T03:02:01Z</dcterms:modified>
</cp:coreProperties>
</file>