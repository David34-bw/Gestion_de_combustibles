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Arquitectura\Trabajos\Proyecto\Backlog\"/>
    </mc:Choice>
  </mc:AlternateContent>
  <xr:revisionPtr revIDLastSave="0" documentId="13_ncr:1_{B110C796-DD44-4CA7-83D5-4B69096894C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print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1" l="1"/>
  <c r="G21" i="1"/>
</calcChain>
</file>

<file path=xl/sharedStrings.xml><?xml version="1.0" encoding="utf-8"?>
<sst xmlns="http://schemas.openxmlformats.org/spreadsheetml/2006/main" count="161" uniqueCount="120">
  <si>
    <t>SPRINT BACKLOG — Sistema de Control y Gestión de Combustible</t>
  </si>
  <si>
    <t>Equipo: Juanita Campos · David Chacon</t>
  </si>
  <si>
    <t>Product Owner: David Chacon</t>
  </si>
  <si>
    <t>Fecha: 16/02/2026</t>
  </si>
  <si>
    <t>ID</t>
  </si>
  <si>
    <t>Épica</t>
  </si>
  <si>
    <t>Rol</t>
  </si>
  <si>
    <t>Objetivo</t>
  </si>
  <si>
    <t>Razón</t>
  </si>
  <si>
    <t>Condiciones de Cumplimiento</t>
  </si>
  <si>
    <t>SP</t>
  </si>
  <si>
    <t>Prioridad</t>
  </si>
  <si>
    <t>Estado</t>
  </si>
  <si>
    <t>Sprint</t>
  </si>
  <si>
    <t>Observaciones</t>
  </si>
  <si>
    <t>HU-001</t>
  </si>
  <si>
    <t>Gestión de Acceso y Seguridad</t>
  </si>
  <si>
    <t>Estación de servicio</t>
  </si>
  <si>
    <t>La plataforma se registra y autentifica mediante credenciales</t>
  </si>
  <si>
    <t>Gestionar inventarios, precios y reportes de combustible</t>
  </si>
  <si>
    <t>• Crear cuenta con datos verídicos
• Validar información
• Credenciales seguras
• Acceso solo autenticados</t>
  </si>
  <si>
    <t>Sprint 1</t>
  </si>
  <si>
    <t>HU-002</t>
  </si>
  <si>
    <t>Usuario</t>
  </si>
  <si>
    <t>El usuario accede mediante credenciales seguras registradas</t>
  </si>
  <si>
    <t>Garantizar privacidad e integridad de acciones</t>
  </si>
  <si>
    <t>HU-003</t>
  </si>
  <si>
    <t>Gestión de Usuarios y Vehículos</t>
  </si>
  <si>
    <t>Usuario propietario vehículo</t>
  </si>
  <si>
    <t>HU-004</t>
  </si>
  <si>
    <t>Gestión de Precios y Cumplimiento</t>
  </si>
  <si>
    <t>La estación consulta precios vigentes según zona y tipo vehículo</t>
  </si>
  <si>
    <t>Comparar combustible y precios conforme a normativa</t>
  </si>
  <si>
    <t>Sprint 2</t>
  </si>
  <si>
    <t>HU-005</t>
  </si>
  <si>
    <t>El usuario visualiza precios según zona y tipo combustible</t>
  </si>
  <si>
    <t>Ver cumplimiento normativa de precios del gobierno</t>
  </si>
  <si>
    <t>• Precios por zona
• Por tipo combustible
• Validar contra normativa</t>
  </si>
  <si>
    <t>HU-006</t>
  </si>
  <si>
    <t>Gestión de Distribución</t>
  </si>
  <si>
    <t>Distribuidor mayorista</t>
  </si>
  <si>
    <t>Mantener el control del combustible (cantidad)</t>
  </si>
  <si>
    <t>Sprint 3</t>
  </si>
  <si>
    <t>HU-007</t>
  </si>
  <si>
    <t>Gestión de Inventario</t>
  </si>
  <si>
    <t>Cargar inventario por tipo combustible y volumen</t>
  </si>
  <si>
    <t>Mantener control actualizado de disponibilidad de combustible</t>
  </si>
  <si>
    <t>• Ingresar tipo combustible
• Ingresar disponibilidad
• Validar datos numéricos
• Actualizar tiempo real</t>
  </si>
  <si>
    <t>HU-008</t>
  </si>
  <si>
    <t>La estación recibe notificación cuando el volumen sea inferior al 25%</t>
  </si>
  <si>
    <t>Gestionar pedido a tiempo y evitar interrupción del servicio</t>
  </si>
  <si>
    <t>Sprint 4</t>
  </si>
  <si>
    <t>HU-009</t>
  </si>
  <si>
    <t>El usuario recibe alertas cuando cambien tarifas o resoluciones</t>
  </si>
  <si>
    <t>Ajustar precios de inmediato, garantizar cumplimiento legal</t>
  </si>
  <si>
    <t>• Detectar cambios precios
• Alertas automáticas
• Histórico de cambios</t>
  </si>
  <si>
    <t>HU-010</t>
  </si>
  <si>
    <t>Los administradores gestionan perfiles de usuario y permisos del sistema</t>
  </si>
  <si>
    <t>Garantizar acceso seguro, diversificado, organizado y controlado</t>
  </si>
  <si>
    <t>• Crear/editar/eliminar perfiles
• Permisos según rol
• Solo administradores gestionan
• Registro cambios</t>
  </si>
  <si>
    <t>Sprint 5</t>
  </si>
  <si>
    <t>TOTALES</t>
  </si>
  <si>
    <t>Hecho(+)</t>
  </si>
  <si>
    <t>Registro de diferentes tipos de vehiculos a un solo usuario</t>
  </si>
  <si>
    <t xml:space="preserve">• Solicitar tipo de vehiculo
• Almacenar información segura
</t>
  </si>
  <si>
    <t>• Validación tiempo real
• Validación de tipo de cuenta</t>
  </si>
  <si>
    <t xml:space="preserve">• Precios por zona
• Diferencia particulares/subsidiados
• Actualización
</t>
  </si>
  <si>
    <t>• Registrar fecha, volumen, destino
• Asociar a estación
• Disponible para reportes</t>
  </si>
  <si>
    <t>Validación en frontend lista. Integración Hecha con el back.</t>
  </si>
  <si>
    <t>Realizada con el acceso a cuentas.</t>
  </si>
  <si>
    <t>Backend y Frontend implementados.</t>
  </si>
  <si>
    <t>Realizada integrando la validacion del precio de combustible, integrandose tanto el back como el front.</t>
  </si>
  <si>
    <t>El usuario particular puede registrar su vehículo (placa, tipo servicio, runt si aplica)</t>
  </si>
  <si>
    <t xml:space="preserve">Se reutilizo la interfaz de Estación de serivcio y se mejoraron partes de la iterfaz, junto a reorganización de carpetas en el front (model) </t>
  </si>
  <si>
    <t>El distribuidor registrará entregas de combustible (volumen, destino)</t>
  </si>
  <si>
    <t xml:space="preserve">Se realizo creando los dashbords respectivos para distribuidor y conectandolos a la base de datos medio endpoints  </t>
  </si>
  <si>
    <t>• Notificaciones
• Registro histórico 
• Niveles de alerta
• Integración tiempo real</t>
  </si>
  <si>
    <t xml:space="preserve">Se implemento la carga de inventario para que la estacion de servicio pueda manter¿ner su inventario actualizado </t>
  </si>
  <si>
    <t>Se notfica en el apartado de inventario con un maximo de 500 galones por tipo</t>
  </si>
  <si>
    <t xml:space="preserve">Se notifica al usuario y estacion de servicio cuando se actualizan los precios </t>
  </si>
  <si>
    <t xml:space="preserve">Se implemento el rol de Autoridad reguladora junto a sus funciones </t>
  </si>
  <si>
    <t>HU-011</t>
  </si>
  <si>
    <t>HU-012</t>
  </si>
  <si>
    <t xml:space="preserve">El usuario puede actualizar sus datos de cuenta </t>
  </si>
  <si>
    <t>Como Entidad Reguladora, gestiono los datos de los diferentes tipos de usuario, permitiendo cambiarlos de la cuenta (correo, nombre, entre otros)</t>
  </si>
  <si>
    <t>Autoridad Reguladora</t>
  </si>
  <si>
    <t>Gestión de Datos</t>
  </si>
  <si>
    <t>Sprint 6</t>
  </si>
  <si>
    <t>Realizar la actualizacion de datos, para mantener el sistema al día</t>
  </si>
  <si>
    <t xml:space="preserve">Garantizar la modificación de datos sin importar el tipo de usuario </t>
  </si>
  <si>
    <t xml:space="preserve">• Cambiar Nombre
• Cambiar Correo electrónico  
• Cambiar Número de Documento
</t>
  </si>
  <si>
    <t>• Cambiar Nombre
• Cambiar Correo electrónico  
• Cambiar Número de Documento,etc...</t>
  </si>
  <si>
    <t xml:space="preserve">Se implemento la interfaz y logica para la actualización de los datos </t>
  </si>
  <si>
    <t xml:space="preserve">Se reutilizo la interfaz del Usuario y se le agregaron adaptaciones para modificar los datos de los diferentes tipos de usuario </t>
  </si>
  <si>
    <t>HU-013</t>
  </si>
  <si>
    <t>HU-014</t>
  </si>
  <si>
    <t>Gestión de Compras y Ventas</t>
  </si>
  <si>
    <t>Gestión de Roles</t>
  </si>
  <si>
    <t>Usuario y Estación de Servicio</t>
  </si>
  <si>
    <t>Administrador</t>
  </si>
  <si>
    <t xml:space="preserve">El usuario y la estación de servicio pueden ver su historial de compras y ventas  </t>
  </si>
  <si>
    <t xml:space="preserve">Tener mas control sobre el registro de las ventas y las compras </t>
  </si>
  <si>
    <t>• Visualizar ventas
• Visualizar compras</t>
  </si>
  <si>
    <t xml:space="preserve">Se creo el Rol Administrador para que regulara los usuario y separar las funciones de Entidad Reguladora  </t>
  </si>
  <si>
    <t>• Cambiar Nombre
• Cambiar Correo electrónico  
• Cambiar Número de Documento,etc…</t>
  </si>
  <si>
    <t xml:space="preserve">Sprint 7 </t>
  </si>
  <si>
    <t xml:space="preserve">Se implemento la interfaz y logica para la visualización del historial correspondiente </t>
  </si>
  <si>
    <t xml:space="preserve">Se reutilizo la interfaz de la entidad reguladora y se le agregaron adaptaciones para modificar los datos de los diferentes tipos de usuario </t>
  </si>
  <si>
    <t>HU-015</t>
  </si>
  <si>
    <t>HU-016</t>
  </si>
  <si>
    <t>Se mejoro la interfaz de Dashboards por Rol, para que se vea mas organizado</t>
  </si>
  <si>
    <t>Se agrego un Sistema de Puntos y Catálogo de Recompensas</t>
  </si>
  <si>
    <t xml:space="preserve">Que las compras tengan un valor extra en puntos </t>
  </si>
  <si>
    <t>Que el usuario vea una interfaz mas amigable/intuitiva</t>
  </si>
  <si>
    <t xml:space="preserve">• ToolBar
• Por secciones 
</t>
  </si>
  <si>
    <t>• Puntos por compra
• Descuentos
• Canjear</t>
  </si>
  <si>
    <t>Sprint 8</t>
  </si>
  <si>
    <t>Hechas (+) = 16   En proceso(/) = 0   Por hacer(-)= 0</t>
  </si>
  <si>
    <t>Se agrego un menu mas intuitivo y bonito para el usuario</t>
  </si>
  <si>
    <t xml:space="preserve">Se agrego el sistema de puntos y recompensas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</si>
</sst>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B71C1C"/>
      <name val="Arial"/>
      <charset val="1"/>
    </font>
    <font>
      <b/>
      <sz val="11"/>
      <color rgb="FFFFFFFF"/>
      <name val="Arial"/>
      <charset val="1"/>
    </font>
    <font>
      <b/>
      <sz val="9"/>
      <color rgb="FF000000"/>
      <name val="Arial"/>
      <charset val="1"/>
    </font>
    <font>
      <b/>
      <sz val="11"/>
      <name val="Arial"/>
      <charset val="1"/>
    </font>
    <font>
      <b/>
      <sz val="12"/>
      <color rgb="FFFFFFFF"/>
      <name val="Arial"/>
      <charset val="1"/>
    </font>
    <font>
      <b/>
      <sz val="10"/>
      <color rgb="FFEF1807"/>
      <name val="Arial"/>
      <family val="2"/>
    </font>
    <font>
      <b/>
      <sz val="11"/>
      <color rgb="FF00B050"/>
      <name val="Arial"/>
      <family val="2"/>
    </font>
    <font>
      <b/>
      <sz val="10"/>
      <color rgb="FF000000"/>
      <name val="Arial"/>
      <family val="2"/>
    </font>
    <font>
      <u/>
      <sz val="11"/>
      <color theme="1"/>
      <name val="Calibri"/>
      <family val="2"/>
      <charset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name val="Calibri"/>
      <family val="2"/>
    </font>
    <font>
      <b/>
      <sz val="12"/>
      <color rgb="FFC0392B"/>
      <name val="Calibri"/>
      <family val="2"/>
    </font>
    <font>
      <b/>
      <sz val="9"/>
      <color rgb="FF00000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AFAFA"/>
        <bgColor rgb="FFFFFFFF"/>
      </patternFill>
    </fill>
    <fill>
      <patternFill patternType="solid">
        <fgColor rgb="FFEEEEEE"/>
        <bgColor rgb="FFEDE7F6"/>
      </patternFill>
    </fill>
    <fill>
      <patternFill patternType="solid">
        <fgColor rgb="FF424242"/>
        <bgColor rgb="FF333300"/>
      </patternFill>
    </fill>
    <fill>
      <patternFill patternType="solid">
        <fgColor rgb="FFBBDEFB"/>
        <bgColor rgb="FFC8E6C9"/>
      </patternFill>
    </fill>
    <fill>
      <patternFill patternType="solid">
        <fgColor theme="5" tint="-0.499984740745262"/>
        <bgColor rgb="FF993366"/>
      </patternFill>
    </fill>
    <fill>
      <patternFill patternType="solid">
        <fgColor rgb="FF00B050"/>
        <bgColor rgb="FFBBDEFB"/>
      </patternFill>
    </fill>
    <fill>
      <patternFill patternType="solid">
        <fgColor rgb="FF00B050"/>
        <bgColor rgb="FF993366"/>
      </patternFill>
    </fill>
    <fill>
      <patternFill patternType="solid">
        <fgColor theme="7" tint="0.79998168889431442"/>
        <bgColor rgb="FFF3E5F5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FFF8E1"/>
      </patternFill>
    </fill>
    <fill>
      <patternFill patternType="solid">
        <fgColor theme="7" tint="0.79998168889431442"/>
        <bgColor rgb="FFEDE7F6"/>
      </patternFill>
    </fill>
    <fill>
      <patternFill patternType="solid">
        <fgColor theme="7" tint="0.79998168889431442"/>
        <bgColor rgb="FFE8F5E9"/>
      </patternFill>
    </fill>
    <fill>
      <patternFill patternType="solid">
        <fgColor theme="7" tint="0.79998168889431442"/>
        <bgColor rgb="FFEEEEEE"/>
      </patternFill>
    </fill>
    <fill>
      <patternFill patternType="solid">
        <fgColor theme="7" tint="0.79998168889431442"/>
        <bgColor rgb="FFFFF3E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8F5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1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top" wrapText="1"/>
    </xf>
    <xf numFmtId="0" fontId="14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left" vertical="top" wrapText="1"/>
    </xf>
    <xf numFmtId="0" fontId="18" fillId="16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F5F5F5"/>
      <rgbColor rgb="FF993366"/>
      <rgbColor rgb="FFFFF9C4"/>
      <rgbColor rgb="FFE3F2FD"/>
      <rgbColor rgb="FF660066"/>
      <rgbColor rgb="FFFF8080"/>
      <rgbColor rgb="FF0066CC"/>
      <rgbColor rgb="FFBBDEFB"/>
      <rgbColor rgb="FF000080"/>
      <rgbColor rgb="FFFF00FF"/>
      <rgbColor rgb="FFEEEEEE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8E1"/>
      <rgbColor rgb="FFEDE7F6"/>
      <rgbColor rgb="FFFCE4EC"/>
      <rgbColor rgb="FFF3E5F5"/>
      <rgbColor rgb="FFFFCDD2"/>
      <rgbColor rgb="FF3366FF"/>
      <rgbColor rgb="FF33CCCC"/>
      <rgbColor rgb="FF99CC00"/>
      <rgbColor rgb="FFFAFAFA"/>
      <rgbColor rgb="FFFF9900"/>
      <rgbColor rgb="FFFF6600"/>
      <rgbColor rgb="FF616161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F18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15" zoomScaleNormal="100" workbookViewId="0">
      <selection activeCell="D20" sqref="D20"/>
    </sheetView>
  </sheetViews>
  <sheetFormatPr baseColWidth="10" defaultColWidth="8.7109375" defaultRowHeight="15" x14ac:dyDescent="0.25"/>
  <cols>
    <col min="1" max="1" width="8" customWidth="1"/>
    <col min="2" max="2" width="22" customWidth="1"/>
    <col min="3" max="3" width="20" customWidth="1"/>
    <col min="4" max="4" width="35" customWidth="1"/>
    <col min="5" max="5" width="30" customWidth="1"/>
    <col min="6" max="6" width="35" customWidth="1"/>
    <col min="7" max="7" width="5" customWidth="1"/>
    <col min="8" max="8" width="10.28515625" customWidth="1"/>
    <col min="9" max="9" width="14" customWidth="1"/>
    <col min="10" max="10" width="10" customWidth="1"/>
    <col min="11" max="11" width="28" customWidth="1"/>
  </cols>
  <sheetData>
    <row r="1" spans="1:13" ht="39.7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3" ht="24.75" customHeight="1" x14ac:dyDescent="0.25">
      <c r="A2" s="27" t="s">
        <v>1</v>
      </c>
      <c r="B2" s="27"/>
      <c r="C2" s="27"/>
      <c r="D2" s="28" t="s">
        <v>2</v>
      </c>
      <c r="E2" s="28"/>
      <c r="F2" s="28"/>
      <c r="G2" s="28" t="s">
        <v>3</v>
      </c>
      <c r="H2" s="28"/>
      <c r="I2" s="28"/>
      <c r="J2" s="29">
        <f>SUM(G5:G20)</f>
        <v>92</v>
      </c>
      <c r="K2" s="29"/>
    </row>
    <row r="3" spans="1:13" ht="19.5" customHeight="1" x14ac:dyDescent="0.25">
      <c r="A3" s="22">
        <v>8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3" ht="30" customHeight="1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</row>
    <row r="5" spans="1:13" ht="69.75" customHeight="1" x14ac:dyDescent="0.25">
      <c r="A5" s="3" t="s">
        <v>15</v>
      </c>
      <c r="B5" s="8" t="s">
        <v>16</v>
      </c>
      <c r="C5" s="9" t="s">
        <v>17</v>
      </c>
      <c r="D5" s="10" t="s">
        <v>18</v>
      </c>
      <c r="E5" s="10" t="s">
        <v>19</v>
      </c>
      <c r="F5" s="10" t="s">
        <v>20</v>
      </c>
      <c r="G5" s="11">
        <v>5</v>
      </c>
      <c r="H5" s="12">
        <v>1</v>
      </c>
      <c r="I5" s="4" t="s">
        <v>62</v>
      </c>
      <c r="J5" s="5" t="s">
        <v>21</v>
      </c>
      <c r="K5" s="31" t="s">
        <v>70</v>
      </c>
    </row>
    <row r="6" spans="1:13" ht="69.75" customHeight="1" x14ac:dyDescent="0.25">
      <c r="A6" s="3" t="s">
        <v>22</v>
      </c>
      <c r="B6" s="8" t="s">
        <v>16</v>
      </c>
      <c r="C6" s="9" t="s">
        <v>23</v>
      </c>
      <c r="D6" s="10" t="s">
        <v>24</v>
      </c>
      <c r="E6" s="10" t="s">
        <v>25</v>
      </c>
      <c r="F6" s="10" t="s">
        <v>65</v>
      </c>
      <c r="G6" s="11">
        <v>5</v>
      </c>
      <c r="H6" s="12">
        <v>1</v>
      </c>
      <c r="I6" s="4" t="s">
        <v>62</v>
      </c>
      <c r="J6" s="5" t="s">
        <v>21</v>
      </c>
      <c r="K6" s="31" t="s">
        <v>69</v>
      </c>
    </row>
    <row r="7" spans="1:13" ht="69.75" customHeight="1" x14ac:dyDescent="0.25">
      <c r="A7" s="3" t="s">
        <v>26</v>
      </c>
      <c r="B7" s="13" t="s">
        <v>27</v>
      </c>
      <c r="C7" s="14" t="s">
        <v>28</v>
      </c>
      <c r="D7" s="10" t="s">
        <v>72</v>
      </c>
      <c r="E7" s="10" t="s">
        <v>63</v>
      </c>
      <c r="F7" s="10" t="s">
        <v>64</v>
      </c>
      <c r="G7" s="11">
        <v>3</v>
      </c>
      <c r="H7" s="12">
        <v>3</v>
      </c>
      <c r="I7" s="4" t="s">
        <v>62</v>
      </c>
      <c r="J7" s="5" t="s">
        <v>33</v>
      </c>
      <c r="K7" s="31" t="s">
        <v>68</v>
      </c>
    </row>
    <row r="8" spans="1:13" ht="69.75" customHeight="1" x14ac:dyDescent="0.25">
      <c r="A8" s="3" t="s">
        <v>29</v>
      </c>
      <c r="B8" s="15" t="s">
        <v>30</v>
      </c>
      <c r="C8" s="16" t="s">
        <v>17</v>
      </c>
      <c r="D8" s="10" t="s">
        <v>31</v>
      </c>
      <c r="E8" s="10" t="s">
        <v>32</v>
      </c>
      <c r="F8" s="10" t="s">
        <v>66</v>
      </c>
      <c r="G8" s="11">
        <v>8</v>
      </c>
      <c r="H8" s="12">
        <v>2</v>
      </c>
      <c r="I8" s="4" t="s">
        <v>62</v>
      </c>
      <c r="J8" s="5" t="s">
        <v>33</v>
      </c>
      <c r="K8" s="31" t="s">
        <v>71</v>
      </c>
    </row>
    <row r="9" spans="1:13" ht="69.75" customHeight="1" x14ac:dyDescent="0.25">
      <c r="A9" s="3" t="s">
        <v>34</v>
      </c>
      <c r="B9" s="15" t="s">
        <v>30</v>
      </c>
      <c r="C9" s="16" t="s">
        <v>23</v>
      </c>
      <c r="D9" s="10" t="s">
        <v>35</v>
      </c>
      <c r="E9" s="10" t="s">
        <v>36</v>
      </c>
      <c r="F9" s="10" t="s">
        <v>37</v>
      </c>
      <c r="G9" s="11">
        <v>5</v>
      </c>
      <c r="H9" s="12">
        <v>2</v>
      </c>
      <c r="I9" s="4" t="s">
        <v>62</v>
      </c>
      <c r="J9" s="5" t="s">
        <v>42</v>
      </c>
      <c r="K9" s="31" t="s">
        <v>73</v>
      </c>
    </row>
    <row r="10" spans="1:13" ht="69.75" customHeight="1" x14ac:dyDescent="0.25">
      <c r="A10" s="3" t="s">
        <v>38</v>
      </c>
      <c r="B10" s="17" t="s">
        <v>39</v>
      </c>
      <c r="C10" s="18" t="s">
        <v>40</v>
      </c>
      <c r="D10" s="10" t="s">
        <v>74</v>
      </c>
      <c r="E10" s="10" t="s">
        <v>41</v>
      </c>
      <c r="F10" s="10" t="s">
        <v>67</v>
      </c>
      <c r="G10" s="11">
        <v>5</v>
      </c>
      <c r="H10" s="12">
        <v>4</v>
      </c>
      <c r="I10" s="4" t="s">
        <v>62</v>
      </c>
      <c r="J10" s="5" t="s">
        <v>42</v>
      </c>
      <c r="K10" s="31" t="s">
        <v>75</v>
      </c>
      <c r="M10" s="1"/>
    </row>
    <row r="11" spans="1:13" ht="69.75" customHeight="1" x14ac:dyDescent="0.25">
      <c r="A11" s="3" t="s">
        <v>43</v>
      </c>
      <c r="B11" s="8" t="s">
        <v>44</v>
      </c>
      <c r="C11" s="9" t="s">
        <v>17</v>
      </c>
      <c r="D11" s="10" t="s">
        <v>45</v>
      </c>
      <c r="E11" s="10" t="s">
        <v>46</v>
      </c>
      <c r="F11" s="10" t="s">
        <v>47</v>
      </c>
      <c r="G11" s="11">
        <v>5</v>
      </c>
      <c r="H11" s="12">
        <v>5</v>
      </c>
      <c r="I11" s="4" t="s">
        <v>62</v>
      </c>
      <c r="J11" s="5" t="s">
        <v>51</v>
      </c>
      <c r="K11" s="31" t="s">
        <v>77</v>
      </c>
    </row>
    <row r="12" spans="1:13" ht="69.75" customHeight="1" x14ac:dyDescent="0.25">
      <c r="A12" s="3" t="s">
        <v>48</v>
      </c>
      <c r="B12" s="8" t="s">
        <v>44</v>
      </c>
      <c r="C12" s="9" t="s">
        <v>17</v>
      </c>
      <c r="D12" s="10" t="s">
        <v>49</v>
      </c>
      <c r="E12" s="10" t="s">
        <v>50</v>
      </c>
      <c r="F12" s="10" t="s">
        <v>76</v>
      </c>
      <c r="G12" s="11">
        <v>5</v>
      </c>
      <c r="H12" s="12">
        <v>6</v>
      </c>
      <c r="I12" s="4" t="s">
        <v>62</v>
      </c>
      <c r="J12" s="5" t="s">
        <v>51</v>
      </c>
      <c r="K12" s="31" t="s">
        <v>78</v>
      </c>
    </row>
    <row r="13" spans="1:13" ht="69.75" customHeight="1" x14ac:dyDescent="0.25">
      <c r="A13" s="3" t="s">
        <v>52</v>
      </c>
      <c r="B13" s="15" t="s">
        <v>30</v>
      </c>
      <c r="C13" s="16" t="s">
        <v>23</v>
      </c>
      <c r="D13" s="10" t="s">
        <v>53</v>
      </c>
      <c r="E13" s="10" t="s">
        <v>54</v>
      </c>
      <c r="F13" s="10" t="s">
        <v>55</v>
      </c>
      <c r="G13" s="11">
        <v>3</v>
      </c>
      <c r="H13" s="12">
        <v>7</v>
      </c>
      <c r="I13" s="4" t="s">
        <v>62</v>
      </c>
      <c r="J13" s="5" t="s">
        <v>60</v>
      </c>
      <c r="K13" s="31" t="s">
        <v>79</v>
      </c>
    </row>
    <row r="14" spans="1:13" ht="69.75" customHeight="1" x14ac:dyDescent="0.25">
      <c r="A14" s="3" t="s">
        <v>56</v>
      </c>
      <c r="B14" s="8" t="s">
        <v>16</v>
      </c>
      <c r="C14" s="9" t="s">
        <v>85</v>
      </c>
      <c r="D14" s="10" t="s">
        <v>57</v>
      </c>
      <c r="E14" s="10" t="s">
        <v>58</v>
      </c>
      <c r="F14" s="10" t="s">
        <v>59</v>
      </c>
      <c r="G14" s="11">
        <v>8</v>
      </c>
      <c r="H14" s="12">
        <v>8</v>
      </c>
      <c r="I14" s="4" t="s">
        <v>62</v>
      </c>
      <c r="J14" s="5" t="s">
        <v>60</v>
      </c>
      <c r="K14" s="31" t="s">
        <v>80</v>
      </c>
    </row>
    <row r="15" spans="1:13" ht="69.75" customHeight="1" x14ac:dyDescent="0.25">
      <c r="A15" s="3" t="s">
        <v>81</v>
      </c>
      <c r="B15" s="8" t="s">
        <v>86</v>
      </c>
      <c r="C15" s="9" t="s">
        <v>23</v>
      </c>
      <c r="D15" s="10" t="s">
        <v>83</v>
      </c>
      <c r="E15" s="10" t="s">
        <v>88</v>
      </c>
      <c r="F15" s="10" t="s">
        <v>90</v>
      </c>
      <c r="G15" s="11">
        <v>5</v>
      </c>
      <c r="H15" s="12">
        <v>5</v>
      </c>
      <c r="I15" s="4" t="s">
        <v>62</v>
      </c>
      <c r="J15" s="5" t="s">
        <v>87</v>
      </c>
      <c r="K15" s="31" t="s">
        <v>92</v>
      </c>
    </row>
    <row r="16" spans="1:13" ht="69.75" customHeight="1" x14ac:dyDescent="0.25">
      <c r="A16" s="3" t="s">
        <v>82</v>
      </c>
      <c r="B16" s="8" t="s">
        <v>86</v>
      </c>
      <c r="C16" s="9" t="s">
        <v>85</v>
      </c>
      <c r="D16" s="10" t="s">
        <v>84</v>
      </c>
      <c r="E16" s="10" t="s">
        <v>89</v>
      </c>
      <c r="F16" s="10" t="s">
        <v>91</v>
      </c>
      <c r="G16" s="11">
        <v>8</v>
      </c>
      <c r="H16" s="12">
        <v>8</v>
      </c>
      <c r="I16" s="4" t="s">
        <v>62</v>
      </c>
      <c r="J16" s="5" t="s">
        <v>87</v>
      </c>
      <c r="K16" s="31" t="s">
        <v>93</v>
      </c>
    </row>
    <row r="17" spans="1:12" ht="69.75" customHeight="1" x14ac:dyDescent="0.25">
      <c r="A17" s="3" t="s">
        <v>94</v>
      </c>
      <c r="B17" s="32" t="s">
        <v>96</v>
      </c>
      <c r="C17" s="19" t="s">
        <v>98</v>
      </c>
      <c r="D17" s="19" t="s">
        <v>100</v>
      </c>
      <c r="E17" s="19" t="s">
        <v>101</v>
      </c>
      <c r="F17" s="19" t="s">
        <v>102</v>
      </c>
      <c r="G17" s="20">
        <v>3</v>
      </c>
      <c r="H17" s="21">
        <v>7</v>
      </c>
      <c r="I17" s="4" t="s">
        <v>62</v>
      </c>
      <c r="J17" s="7" t="s">
        <v>105</v>
      </c>
      <c r="K17" s="30" t="s">
        <v>106</v>
      </c>
    </row>
    <row r="18" spans="1:12" ht="75" x14ac:dyDescent="0.25">
      <c r="A18" s="3" t="s">
        <v>95</v>
      </c>
      <c r="B18" s="32" t="s">
        <v>97</v>
      </c>
      <c r="C18" s="19" t="s">
        <v>99</v>
      </c>
      <c r="D18" s="19" t="s">
        <v>103</v>
      </c>
      <c r="E18" s="19" t="s">
        <v>89</v>
      </c>
      <c r="F18" s="19" t="s">
        <v>104</v>
      </c>
      <c r="G18" s="20">
        <v>8</v>
      </c>
      <c r="H18" s="21">
        <v>8</v>
      </c>
      <c r="I18" s="4" t="s">
        <v>62</v>
      </c>
      <c r="J18" s="7" t="s">
        <v>105</v>
      </c>
      <c r="K18" s="30" t="s">
        <v>107</v>
      </c>
    </row>
    <row r="19" spans="1:12" ht="69.75" customHeight="1" x14ac:dyDescent="0.25">
      <c r="A19" s="3" t="s">
        <v>108</v>
      </c>
      <c r="B19" s="32" t="s">
        <v>97</v>
      </c>
      <c r="C19" s="19" t="s">
        <v>23</v>
      </c>
      <c r="D19" s="19" t="s">
        <v>110</v>
      </c>
      <c r="E19" s="19" t="s">
        <v>113</v>
      </c>
      <c r="F19" s="19" t="s">
        <v>114</v>
      </c>
      <c r="G19" s="20">
        <v>8</v>
      </c>
      <c r="H19" s="21">
        <v>8</v>
      </c>
      <c r="I19" s="4" t="s">
        <v>62</v>
      </c>
      <c r="J19" s="7" t="s">
        <v>116</v>
      </c>
      <c r="K19" s="30" t="s">
        <v>118</v>
      </c>
    </row>
    <row r="20" spans="1:12" ht="45" x14ac:dyDescent="0.25">
      <c r="A20" s="3" t="s">
        <v>109</v>
      </c>
      <c r="B20" s="32" t="s">
        <v>97</v>
      </c>
      <c r="C20" s="19" t="s">
        <v>99</v>
      </c>
      <c r="D20" s="19" t="s">
        <v>111</v>
      </c>
      <c r="E20" s="19" t="s">
        <v>112</v>
      </c>
      <c r="F20" s="19" t="s">
        <v>115</v>
      </c>
      <c r="G20" s="20">
        <v>8</v>
      </c>
      <c r="H20" s="21">
        <v>8</v>
      </c>
      <c r="I20" s="4" t="s">
        <v>62</v>
      </c>
      <c r="J20" s="7" t="s">
        <v>116</v>
      </c>
      <c r="K20" s="30" t="s">
        <v>119</v>
      </c>
    </row>
    <row r="21" spans="1:12" ht="24.75" customHeight="1" x14ac:dyDescent="0.25">
      <c r="A21" s="24" t="s">
        <v>61</v>
      </c>
      <c r="B21" s="24"/>
      <c r="C21" s="24"/>
      <c r="D21" s="24"/>
      <c r="E21" s="24"/>
      <c r="F21" s="24"/>
      <c r="G21" s="6">
        <f>SUM(G5:G20)</f>
        <v>92</v>
      </c>
      <c r="H21" s="25" t="s">
        <v>117</v>
      </c>
      <c r="I21" s="24"/>
      <c r="J21" s="24"/>
      <c r="K21" s="24"/>
    </row>
    <row r="26" spans="1:12" x14ac:dyDescent="0.25">
      <c r="L26" s="1"/>
    </row>
  </sheetData>
  <mergeCells count="8">
    <mergeCell ref="A3:K3"/>
    <mergeCell ref="A21:F21"/>
    <mergeCell ref="H21:K21"/>
    <mergeCell ref="A1:K1"/>
    <mergeCell ref="A2:C2"/>
    <mergeCell ref="D2:F2"/>
    <mergeCell ref="G2:I2"/>
    <mergeCell ref="J2:K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Santiago Chacon Herrera</cp:lastModifiedBy>
  <cp:revision>0</cp:revision>
  <dcterms:created xsi:type="dcterms:W3CDTF">2026-02-26T22:55:06Z</dcterms:created>
  <dcterms:modified xsi:type="dcterms:W3CDTF">2026-05-14T03:02:03Z</dcterms:modified>
  <dc:language>en-US</dc:language>
</cp:coreProperties>
</file>